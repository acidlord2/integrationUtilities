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ля работы" sheetId="1" r:id="rId4"/>
    <sheet state="visible" name="Лист1" sheetId="2" r:id="rId5"/>
    <sheet state="visible" name="Лист2" sheetId="3" r:id="rId6"/>
  </sheets>
  <definedNames/>
  <calcPr/>
  <extLst>
    <ext uri="GoogleSheetsCustomDataVersion2">
      <go:sheetsCustomData xmlns:go="http://customooxmlschemas.google.com/" r:id="rId7" roundtripDataChecksum="h7BIR4ycropb+FCqboX5lioxg44jc4i/IDVWLeEoymw="/>
    </ext>
  </extLst>
</workbook>
</file>

<file path=xl/sharedStrings.xml><?xml version="1.0" encoding="utf-8"?>
<sst xmlns="http://schemas.openxmlformats.org/spreadsheetml/2006/main" count="170" uniqueCount="97">
  <si>
    <t>GTIN</t>
  </si>
  <si>
    <t>ШК</t>
  </si>
  <si>
    <t>ШК NEW</t>
  </si>
  <si>
    <t>ДАТА ИЗГОТОВЛЕНИЯ</t>
  </si>
  <si>
    <t>код ТН ВЭД ЕАЭС</t>
  </si>
  <si>
    <t>наименование</t>
  </si>
  <si>
    <t>Декларация соответствия</t>
  </si>
  <si>
    <t>заказ в ЧЗ</t>
  </si>
  <si>
    <t>количество кодов</t>
  </si>
  <si>
    <t>04901301452412</t>
  </si>
  <si>
    <t>Attack BioEX концентрированный универсальный стиральный порошок, 850 г</t>
  </si>
  <si>
    <t>RU.77.01.34.015.Е.001877.08.22</t>
  </si>
  <si>
    <t>3f1626a7-7389-4299-a4da-dddb7b3a82d9</t>
  </si>
  <si>
    <t>04901301452429</t>
  </si>
  <si>
    <t>Attack BioEX, концентрированный стиральный порошок, запасной блок 750 г</t>
  </si>
  <si>
    <t>04901301452436</t>
  </si>
  <si>
    <t>Attack Multi-Action, стиральный порошок с кислородным пятновыводителем и кондиционером 800 г</t>
  </si>
  <si>
    <t>РОСС RU Д-JP.РА01.В.47049/25</t>
  </si>
  <si>
    <t>04901301453334</t>
  </si>
  <si>
    <t>Attack Multi-Action, стиральный порошок с кислородным пятновыводителем и кондиционером 700 г</t>
  </si>
  <si>
    <t>04901301451149</t>
  </si>
  <si>
    <t>Attack Гель для стирки белья с антибактериальным эффектом, 750 мл</t>
  </si>
  <si>
    <t>РОСС RU Д-JP.РА01.В.47045/25</t>
  </si>
  <si>
    <t>04901301451170</t>
  </si>
  <si>
    <t>Attack BioEx Жидкое средство для стирки, сушка белья в помещении, 720 г</t>
  </si>
  <si>
    <t>04901301453976</t>
  </si>
  <si>
    <t>4901301453976</t>
  </si>
  <si>
    <t xml:space="preserve">   </t>
  </si>
  <si>
    <t>Biore Гель для душа Мягкая свежесть, 450 мл</t>
  </si>
  <si>
    <t>ЕАЭС N RU Д-JP.РА02.В.98382/25</t>
  </si>
  <si>
    <t>3e2be2e0-6319-4055-8f86-b2e3f6626009</t>
  </si>
  <si>
    <t>04901301453983</t>
  </si>
  <si>
    <t>4901301453983</t>
  </si>
  <si>
    <t>Biore, Гель для душа Гладкость шелка 450 мл</t>
  </si>
  <si>
    <t>04901301453990</t>
  </si>
  <si>
    <t>4901301453990</t>
  </si>
  <si>
    <t>Biore Гель для душа Экстра увлажняющий, 450 мл</t>
  </si>
  <si>
    <t>04901301299031</t>
  </si>
  <si>
    <t>Biore Гидрофильное масло для снятия макияжа запасной блок, 210 мл</t>
  </si>
  <si>
    <t>ЕАЭС N RU Д-JP.РА02.В.98384/25</t>
  </si>
  <si>
    <t>04901301263049</t>
  </si>
  <si>
    <t>Biore Сыворотка для умывания и снятия макияжа, 230 мл</t>
  </si>
  <si>
    <t>3d78b67a-a874-481e-b31d-4955bf70c503</t>
  </si>
  <si>
    <t>Order</t>
  </si>
  <si>
    <t>Part 1</t>
  </si>
  <si>
    <t>Part 2</t>
  </si>
  <si>
    <t>Cartons</t>
  </si>
  <si>
    <t>Manufacturing Date</t>
  </si>
  <si>
    <t>No</t>
  </si>
  <si>
    <t>JAN Code</t>
  </si>
  <si>
    <t>Product descritpion</t>
  </si>
  <si>
    <t>Picture</t>
  </si>
  <si>
    <t>pcs/carton</t>
  </si>
  <si>
    <t>Quantity, pcs
1</t>
  </si>
  <si>
    <t>Cartons
1</t>
  </si>
  <si>
    <t>Unit Price JPY 
1</t>
  </si>
  <si>
    <t>Quantity, pcs
2</t>
  </si>
  <si>
    <t>Cartons
2</t>
  </si>
  <si>
    <t>Unit Price JPY 
2</t>
  </si>
  <si>
    <t>Arrived in warehouse</t>
  </si>
  <si>
    <t>not yet arrived</t>
  </si>
  <si>
    <t>Stickers Price JPY</t>
  </si>
  <si>
    <t>Amount JPY</t>
  </si>
  <si>
    <t>volume, m3</t>
  </si>
  <si>
    <t>NW, kg</t>
  </si>
  <si>
    <t>GW, kg</t>
  </si>
  <si>
    <t>Total Volume, m3</t>
  </si>
  <si>
    <t>Total NW, kg</t>
  </si>
  <si>
    <t>Total GW, kg</t>
  </si>
  <si>
    <t>HS Code</t>
  </si>
  <si>
    <t>Attack BioEx Сoncentrated Powder (850g)</t>
  </si>
  <si>
    <t>The unit price of the remaining 428 cartons has increased to 427 yen</t>
  </si>
  <si>
    <t>Attack BioEx  Сoncentrated Powder Refill (750g)</t>
  </si>
  <si>
    <t>Attack Multiaction Сoncentrated Powder (800g)</t>
  </si>
  <si>
    <t>The unit price of the remaining 290 cartons has increased to 427 yen</t>
  </si>
  <si>
    <t>Attack Multiaction Сoncentrated Powder Refill (700g)</t>
  </si>
  <si>
    <t>The unit price of the remaining 5 cartons has increased to 409 yen</t>
  </si>
  <si>
    <t>KAO Biore u Body Wash 450ml</t>
  </si>
  <si>
    <t>The unit price of the remaining 118 cartons has increased to 414 yen</t>
  </si>
  <si>
    <t>KAO Biore u Body Wash Refreshing and Smooth Skin  450ml</t>
  </si>
  <si>
    <t>The unit price of the remaining 116 cartons has increased to 414 yen</t>
  </si>
  <si>
    <t>KAO Biore u Body Wash Moisturizing Skin 450ml</t>
  </si>
  <si>
    <t>The unit price of the remaining 109 cartons has increased to 414 yen</t>
  </si>
  <si>
    <t>KAO Biore Make up Remover Perfect Oil Refill 210ml</t>
  </si>
  <si>
    <t>KAO Biore Moisturizing Cleansing Liquid 230ml</t>
  </si>
  <si>
    <r>
      <rPr>
        <rFont val="Arial"/>
        <color theme="1"/>
        <sz val="10.0"/>
      </rPr>
      <t xml:space="preserve">4901301451149
</t>
    </r>
    <r>
      <rPr>
        <rFont val="Arial"/>
        <color rgb="FFFF0000"/>
        <sz val="10.0"/>
      </rPr>
      <t>New Jan:4901301467430</t>
    </r>
  </si>
  <si>
    <r>
      <rPr>
        <rFont val="Arial"/>
        <color theme="1"/>
        <sz val="10.0"/>
      </rPr>
      <t xml:space="preserve">KAO Attack Gel EX 750 g
</t>
    </r>
    <r>
      <rPr>
        <rFont val="Arial"/>
        <color rgb="FFFF0000"/>
        <sz val="10.0"/>
      </rPr>
      <t>KAO Attack Gel EX 720 g</t>
    </r>
  </si>
  <si>
    <t>4901301451149 has been discontinued, the new jan is 4901301467430, and the price is 380 JPY.</t>
  </si>
  <si>
    <r>
      <rPr>
        <rFont val="Arial"/>
        <color theme="1"/>
        <sz val="10.0"/>
      </rPr>
      <t xml:space="preserve">4901301451170
</t>
    </r>
    <r>
      <rPr>
        <rFont val="Arial"/>
        <color rgb="FFFF0000"/>
        <sz val="10.0"/>
      </rPr>
      <t>New Jan:4901301467485</t>
    </r>
  </si>
  <si>
    <t>KAO Attack Antibacterial BioEx 720 g</t>
  </si>
  <si>
    <t>4901301451170 has been discontinued, the new jan is 4901301467485, and the price is 380 JPY.</t>
  </si>
  <si>
    <t>4901301451149
New Jan:4901301467430</t>
  </si>
  <si>
    <t>KAO Attack Gel EX 750 g
KAO Attack Gel EX 720 g</t>
  </si>
  <si>
    <t>4901301451170
New Jan:4901301467485</t>
  </si>
  <si>
    <t>ШК JP</t>
  </si>
  <si>
    <t>ШК VIETNAM</t>
  </si>
  <si>
    <t>цвет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</si>
</sst>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"/>
    <numFmt numFmtId="165" formatCode="0_ "/>
    <numFmt numFmtId="166" formatCode="_-[$¥-411]* #,##0.00_-;\-[$¥-411]* #,##0.00_-;_-[$¥-411]* &quot;-&quot;??_-;_-@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b/>
      <sz val="12.0"/>
      <color rgb="FF000000"/>
      <name val="Arial"/>
    </font>
    <font>
      <b/>
      <sz val="20.0"/>
      <color rgb="FF000000"/>
      <name val="Arial"/>
    </font>
    <font>
      <b/>
      <sz val="12.0"/>
      <color theme="1"/>
      <name val="Arial"/>
    </font>
    <font>
      <b/>
      <sz val="20.0"/>
      <color theme="1"/>
      <name val="Arial"/>
    </font>
    <font>
      <sz val="10.0"/>
      <color theme="1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8.0"/>
      <color rgb="FF000000"/>
      <name val="Arial"/>
    </font>
    <font>
      <sz val="11.0"/>
      <color rgb="FF000000"/>
      <name val="Arial"/>
    </font>
    <font>
      <sz val="12.0"/>
      <color rgb="FF000000"/>
      <name val="Arial"/>
    </font>
    <font>
      <sz val="10.0"/>
      <color theme="1"/>
      <name val="Century Gothic"/>
    </font>
    <font>
      <sz val="11.0"/>
      <color theme="1"/>
      <name val="Arial"/>
    </font>
    <font>
      <sz val="10.0"/>
      <color rgb="FF000000"/>
      <name val="Arial"/>
    </font>
    <font>
      <sz val="11.0"/>
      <color theme="1"/>
      <name val="Century Gothic"/>
    </font>
    <font>
      <sz val="11.0"/>
      <color rgb="FF000000"/>
      <name val="游ゴシック"/>
    </font>
    <font>
      <sz val="11.0"/>
      <color rgb="FF333333"/>
      <name val="Century Gothic"/>
    </font>
    <font>
      <sz val="10.0"/>
      <color theme="1"/>
      <name val="Microsoft Yahei"/>
    </font>
    <font>
      <sz val="10.0"/>
      <color rgb="FFFF0000"/>
      <name val="Arial"/>
    </font>
    <font>
      <b/>
      <sz val="11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Border="1" applyFill="1" applyFont="1"/>
    <xf borderId="1" fillId="2" fontId="1" numFmtId="164" xfId="0" applyAlignment="1" applyBorder="1" applyFont="1" applyNumberFormat="1">
      <alignment horizontal="right"/>
    </xf>
    <xf borderId="1" fillId="2" fontId="1" numFmtId="14" xfId="0" applyBorder="1" applyFont="1" applyNumberFormat="1"/>
    <xf borderId="1" fillId="2" fontId="1" numFmtId="0" xfId="0" applyBorder="1" applyFont="1"/>
    <xf borderId="1" fillId="3" fontId="1" numFmtId="0" xfId="0" applyBorder="1" applyFill="1" applyFont="1"/>
    <xf borderId="1" fillId="3" fontId="1" numFmtId="164" xfId="0" applyAlignment="1" applyBorder="1" applyFont="1" applyNumberFormat="1">
      <alignment horizontal="right"/>
    </xf>
    <xf borderId="1" fillId="3" fontId="1" numFmtId="14" xfId="0" applyBorder="1" applyFont="1" applyNumberFormat="1"/>
    <xf borderId="1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left" shrinkToFit="1" vertical="center" wrapText="0"/>
    </xf>
    <xf borderId="0" fillId="0" fontId="5" numFmtId="0" xfId="0" applyAlignment="1" applyFont="1">
      <alignment vertical="center"/>
    </xf>
    <xf borderId="1" fillId="3" fontId="6" numFmtId="14" xfId="0" applyAlignment="1" applyBorder="1" applyFont="1" applyNumberFormat="1">
      <alignment horizontal="center" shrinkToFit="1" vertical="center" wrapText="0"/>
    </xf>
    <xf borderId="0" fillId="0" fontId="7" numFmtId="0" xfId="0" applyAlignment="1" applyFont="1">
      <alignment horizontal="left" shrinkToFit="1" vertical="center" wrapText="0"/>
    </xf>
    <xf borderId="0" fillId="0" fontId="1" numFmtId="0" xfId="0" applyAlignment="1" applyFont="1">
      <alignment vertical="center"/>
    </xf>
    <xf borderId="0" fillId="0" fontId="1" numFmtId="0" xfId="0" applyFont="1"/>
    <xf borderId="1" fillId="3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2" fillId="4" fontId="4" numFmtId="0" xfId="0" applyAlignment="1" applyBorder="1" applyFill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2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5" fillId="3" fontId="3" numFmtId="0" xfId="0" applyAlignment="1" applyBorder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3" fontId="13" numFmtId="1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7" numFmtId="1" xfId="0" applyAlignment="1" applyBorder="1" applyFont="1" applyNumberFormat="1">
      <alignment horizontal="left" shrinkToFit="0" vertical="center" wrapText="1"/>
    </xf>
    <xf borderId="5" fillId="0" fontId="14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shrinkToFit="0" vertical="center" wrapText="1"/>
    </xf>
    <xf borderId="5" fillId="4" fontId="16" numFmtId="0" xfId="0" applyAlignment="1" applyBorder="1" applyFont="1">
      <alignment horizontal="center" shrinkToFit="0" vertical="center" wrapText="1"/>
    </xf>
    <xf borderId="5" fillId="4" fontId="15" numFmtId="165" xfId="0" applyAlignment="1" applyBorder="1" applyFont="1" applyNumberFormat="1">
      <alignment horizontal="center" shrinkToFit="0" vertical="center" wrapText="1"/>
    </xf>
    <xf borderId="5" fillId="3" fontId="15" numFmtId="165" xfId="0" applyAlignment="1" applyBorder="1" applyFont="1" applyNumberFormat="1">
      <alignment horizontal="center" shrinkToFit="0" vertical="center" wrapText="1"/>
    </xf>
    <xf borderId="5" fillId="5" fontId="15" numFmtId="165" xfId="0" applyAlignment="1" applyBorder="1" applyFont="1" applyNumberFormat="1">
      <alignment horizontal="center" shrinkToFit="0" vertical="center" wrapText="1"/>
    </xf>
    <xf borderId="5" fillId="7" fontId="10" numFmtId="165" xfId="0" applyAlignment="1" applyBorder="1" applyFont="1" applyNumberFormat="1">
      <alignment horizontal="center" shrinkToFit="0" vertical="center" wrapText="1"/>
    </xf>
    <xf borderId="6" fillId="0" fontId="15" numFmtId="166" xfId="0" applyAlignment="1" applyBorder="1" applyFont="1" applyNumberFormat="1">
      <alignment horizontal="center" shrinkToFit="0" vertical="center" wrapText="1"/>
    </xf>
    <xf borderId="5" fillId="0" fontId="15" numFmtId="2" xfId="0" applyAlignment="1" applyBorder="1" applyFont="1" applyNumberFormat="1">
      <alignment horizontal="center" shrinkToFit="0" vertical="center" wrapText="1"/>
    </xf>
    <xf borderId="7" fillId="0" fontId="17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5" fillId="0" fontId="18" numFmtId="0" xfId="0" applyAlignment="1" applyBorder="1" applyFont="1">
      <alignment horizontal="center" shrinkToFit="0" vertical="center" wrapText="1"/>
    </xf>
    <xf borderId="5" fillId="4" fontId="16" numFmtId="165" xfId="0" applyAlignment="1" applyBorder="1" applyFont="1" applyNumberFormat="1">
      <alignment horizontal="center" vertical="center"/>
    </xf>
    <xf borderId="5" fillId="3" fontId="16" numFmtId="14" xfId="0" applyAlignment="1" applyBorder="1" applyFont="1" applyNumberFormat="1">
      <alignment horizontal="center" shrinkToFit="0" vertical="center" wrapText="1"/>
    </xf>
    <xf borderId="8" fillId="0" fontId="15" numFmtId="2" xfId="0" applyAlignment="1" applyBorder="1" applyFont="1" applyNumberFormat="1">
      <alignment horizontal="center" shrinkToFit="0" vertical="center" wrapText="1"/>
    </xf>
    <xf borderId="7" fillId="0" fontId="19" numFmtId="0" xfId="0" applyAlignment="1" applyBorder="1" applyFont="1">
      <alignment horizontal="center" vertical="center"/>
    </xf>
    <xf borderId="9" fillId="0" fontId="15" numFmtId="2" xfId="0" applyAlignment="1" applyBorder="1" applyFont="1" applyNumberFormat="1">
      <alignment horizontal="center" shrinkToFit="0" vertical="center" wrapText="1"/>
    </xf>
    <xf borderId="9" fillId="0" fontId="19" numFmtId="0" xfId="0" applyAlignment="1" applyBorder="1" applyFont="1">
      <alignment horizontal="center" vertical="center"/>
    </xf>
    <xf borderId="5" fillId="0" fontId="7" numFmtId="164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vertical="center"/>
    </xf>
    <xf borderId="5" fillId="0" fontId="12" numFmtId="0" xfId="0" applyAlignment="1" applyBorder="1" applyFont="1">
      <alignment horizontal="center" shrinkToFit="0" vertical="center" wrapText="1"/>
    </xf>
    <xf borderId="5" fillId="0" fontId="20" numFmtId="2" xfId="0" applyAlignment="1" applyBorder="1" applyFont="1" applyNumberFormat="1">
      <alignment horizontal="center" shrinkToFit="1" vertical="center" wrapText="0"/>
    </xf>
    <xf borderId="5" fillId="0" fontId="21" numFmtId="0" xfId="0" applyAlignment="1" applyBorder="1" applyFont="1">
      <alignment horizontal="left" shrinkToFit="0" vertical="center" wrapText="1"/>
    </xf>
    <xf borderId="5" fillId="0" fontId="19" numFmtId="0" xfId="0" applyAlignment="1" applyBorder="1" applyFont="1">
      <alignment horizontal="center" vertical="center"/>
    </xf>
    <xf borderId="0" fillId="0" fontId="1" numFmtId="166" xfId="0" applyFont="1" applyNumberFormat="1"/>
    <xf borderId="0" fillId="0" fontId="22" numFmtId="2" xfId="0" applyFont="1" applyNumberFormat="1"/>
    <xf borderId="0" fillId="0" fontId="23" numFmtId="0" xfId="0" applyFont="1"/>
    <xf borderId="0" fillId="0" fontId="1" numFmtId="14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0.png"/><Relationship Id="rId3" Type="http://schemas.openxmlformats.org/officeDocument/2006/relationships/image" Target="../media/image9.jpg"/><Relationship Id="rId4" Type="http://schemas.openxmlformats.org/officeDocument/2006/relationships/image" Target="../media/image3.png"/><Relationship Id="rId10" Type="http://schemas.openxmlformats.org/officeDocument/2006/relationships/image" Target="../media/image4.png"/><Relationship Id="rId9" Type="http://schemas.openxmlformats.org/officeDocument/2006/relationships/image" Target="../media/image5.jpg"/><Relationship Id="rId5" Type="http://schemas.openxmlformats.org/officeDocument/2006/relationships/image" Target="../media/image8.png"/><Relationship Id="rId6" Type="http://schemas.openxmlformats.org/officeDocument/2006/relationships/image" Target="../media/image7.png"/><Relationship Id="rId7" Type="http://schemas.openxmlformats.org/officeDocument/2006/relationships/image" Target="../media/image6.jpg"/><Relationship Id="rId8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10</xdr:row>
      <xdr:rowOff>142875</xdr:rowOff>
    </xdr:from>
    <xdr:ext cx="438150" cy="5524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11</xdr:row>
      <xdr:rowOff>180975</xdr:rowOff>
    </xdr:from>
    <xdr:ext cx="495300" cy="4953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3</xdr:row>
      <xdr:rowOff>180975</xdr:rowOff>
    </xdr:from>
    <xdr:ext cx="685800" cy="62865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4</xdr:row>
      <xdr:rowOff>76200</xdr:rowOff>
    </xdr:from>
    <xdr:ext cx="704850" cy="6286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5</xdr:row>
      <xdr:rowOff>123825</xdr:rowOff>
    </xdr:from>
    <xdr:ext cx="704850" cy="67627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6</xdr:row>
      <xdr:rowOff>123825</xdr:rowOff>
    </xdr:from>
    <xdr:ext cx="657225" cy="666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7</xdr:row>
      <xdr:rowOff>95250</xdr:rowOff>
    </xdr:from>
    <xdr:ext cx="561975" cy="742950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8</xdr:row>
      <xdr:rowOff>142875</xdr:rowOff>
    </xdr:from>
    <xdr:ext cx="666750" cy="647700"/>
    <xdr:pic>
      <xdr:nvPicPr>
        <xdr:cNvPr id="0" name="image1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9</xdr:row>
      <xdr:rowOff>142875</xdr:rowOff>
    </xdr:from>
    <xdr:ext cx="485775" cy="590550"/>
    <xdr:pic>
      <xdr:nvPicPr>
        <xdr:cNvPr id="0" name="image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" cy="9525"/>
    <xdr:pic>
      <xdr:nvPicPr>
        <xdr:cNvPr descr="http://10.10.10.5/EcssApp/common/scripts/ext/resources/images/default/s.gif"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" cy="9525"/>
    <xdr:pic>
      <xdr:nvPicPr>
        <xdr:cNvPr descr="http://10.10.10.5/EcssApp/common/scripts/ext/resources/images/default/s.gif"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" cy="9525"/>
    <xdr:pic>
      <xdr:nvPicPr>
        <xdr:cNvPr descr="http://10.10.10.5/EcssApp/common/scripts/ext/resources/images/default/s.gif"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" cy="9525"/>
    <xdr:pic>
      <xdr:nvPicPr>
        <xdr:cNvPr descr="http://10.10.10.5/EcssApp/common/scripts/ext/resources/images/default/s.gif"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" cy="9525"/>
    <xdr:pic>
      <xdr:nvPicPr>
        <xdr:cNvPr descr="http://10.10.10.5/EcssApp/common/scripts/ext/resources/images/default/s.gif"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" cy="9525"/>
    <xdr:pic>
      <xdr:nvPicPr>
        <xdr:cNvPr descr="http://10.10.10.5/EcssApp/common/scripts/ext/resources/images/default/s.gif"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9525" cy="9525"/>
    <xdr:pic>
      <xdr:nvPicPr>
        <xdr:cNvPr descr="http://10.10.10.5/EcssApp/common/scripts/ext/resources/images/default/s.gif"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22.86"/>
    <col customWidth="1" min="3" max="3" width="14.14"/>
    <col customWidth="1" min="4" max="4" width="21.14"/>
    <col customWidth="1" min="5" max="5" width="16.29"/>
    <col customWidth="1" min="6" max="6" width="96.0"/>
    <col customWidth="1" min="7" max="7" width="30.57"/>
    <col customWidth="1" min="8" max="8" width="39.43"/>
    <col customWidth="1" min="9" max="9" width="17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4.901301452412E12</v>
      </c>
      <c r="C2" s="3"/>
      <c r="D2" s="4">
        <v>46168.0</v>
      </c>
      <c r="E2" s="5">
        <v>3.4025E9</v>
      </c>
      <c r="F2" s="5" t="s">
        <v>10</v>
      </c>
      <c r="G2" s="5" t="s">
        <v>11</v>
      </c>
      <c r="H2" s="5" t="s">
        <v>12</v>
      </c>
      <c r="I2" s="5">
        <v>8600.0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13</v>
      </c>
      <c r="B3" s="3">
        <v>4.901301452429E12</v>
      </c>
      <c r="C3" s="3"/>
      <c r="D3" s="4">
        <v>46171.0</v>
      </c>
      <c r="E3" s="5">
        <v>3.4025E9</v>
      </c>
      <c r="F3" s="5" t="s">
        <v>14</v>
      </c>
      <c r="G3" s="5" t="s">
        <v>11</v>
      </c>
      <c r="H3" s="5" t="s">
        <v>12</v>
      </c>
      <c r="I3" s="5">
        <v>3000.0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 t="s">
        <v>15</v>
      </c>
      <c r="B4" s="3">
        <v>4.901301452436E12</v>
      </c>
      <c r="C4" s="3"/>
      <c r="D4" s="4">
        <v>45968.0</v>
      </c>
      <c r="E4" s="5">
        <v>3.4025E9</v>
      </c>
      <c r="F4" s="5" t="s">
        <v>16</v>
      </c>
      <c r="G4" s="5" t="s">
        <v>17</v>
      </c>
      <c r="H4" s="5" t="s">
        <v>12</v>
      </c>
      <c r="I4" s="5">
        <v>8600.0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 t="s">
        <v>18</v>
      </c>
      <c r="B5" s="3">
        <v>4.901301453334E12</v>
      </c>
      <c r="C5" s="3"/>
      <c r="D5" s="4">
        <v>46176.0</v>
      </c>
      <c r="E5" s="5">
        <v>3.4025E9</v>
      </c>
      <c r="F5" s="5" t="s">
        <v>19</v>
      </c>
      <c r="G5" s="5" t="s">
        <v>17</v>
      </c>
      <c r="H5" s="5" t="s">
        <v>12</v>
      </c>
      <c r="I5" s="5">
        <v>3000.0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 t="s">
        <v>20</v>
      </c>
      <c r="B6" s="3">
        <v>4.901301451149E12</v>
      </c>
      <c r="C6" s="3">
        <v>4.90130146743E12</v>
      </c>
      <c r="D6" s="4">
        <v>46175.0</v>
      </c>
      <c r="E6" s="5">
        <v>3.402909E9</v>
      </c>
      <c r="F6" s="5" t="s">
        <v>21</v>
      </c>
      <c r="G6" s="5" t="s">
        <v>22</v>
      </c>
      <c r="H6" s="5" t="s">
        <v>12</v>
      </c>
      <c r="I6" s="5">
        <v>800.0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23</v>
      </c>
      <c r="B7" s="3">
        <v>4.90130145117E12</v>
      </c>
      <c r="C7" s="3">
        <v>4.901301467485E12</v>
      </c>
      <c r="D7" s="4">
        <v>46191.0</v>
      </c>
      <c r="E7" s="5">
        <v>3.402909E9</v>
      </c>
      <c r="F7" s="5" t="s">
        <v>24</v>
      </c>
      <c r="G7" s="5" t="s">
        <v>22</v>
      </c>
      <c r="H7" s="5" t="s">
        <v>12</v>
      </c>
      <c r="I7" s="5">
        <v>800.0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25</v>
      </c>
      <c r="B8" s="7" t="s">
        <v>26</v>
      </c>
      <c r="C8" s="7" t="s">
        <v>27</v>
      </c>
      <c r="D8" s="8">
        <v>46190.0</v>
      </c>
      <c r="E8" s="6">
        <v>3.4013E9</v>
      </c>
      <c r="F8" s="6" t="s">
        <v>28</v>
      </c>
      <c r="G8" s="6" t="s">
        <v>29</v>
      </c>
      <c r="H8" s="6" t="s">
        <v>30</v>
      </c>
      <c r="I8" s="6">
        <v>1260.0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31</v>
      </c>
      <c r="B9" s="7" t="s">
        <v>32</v>
      </c>
      <c r="C9" s="7"/>
      <c r="D9" s="8">
        <v>46173.0</v>
      </c>
      <c r="E9" s="6">
        <v>3.4013E9</v>
      </c>
      <c r="F9" s="6" t="s">
        <v>33</v>
      </c>
      <c r="G9" s="6" t="s">
        <v>29</v>
      </c>
      <c r="H9" s="6" t="s">
        <v>30</v>
      </c>
      <c r="I9" s="6">
        <v>1260.0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34</v>
      </c>
      <c r="B10" s="7" t="s">
        <v>35</v>
      </c>
      <c r="C10" s="7"/>
      <c r="D10" s="8">
        <v>46140.0</v>
      </c>
      <c r="E10" s="6">
        <v>3.4013E9</v>
      </c>
      <c r="F10" s="6" t="s">
        <v>36</v>
      </c>
      <c r="G10" s="6" t="s">
        <v>29</v>
      </c>
      <c r="H10" s="6" t="s">
        <v>30</v>
      </c>
      <c r="I10" s="6">
        <v>1260.0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" t="s">
        <v>37</v>
      </c>
      <c r="B11" s="3">
        <v>4.901301299031E12</v>
      </c>
      <c r="C11" s="3"/>
      <c r="D11" s="4">
        <v>46168.0</v>
      </c>
      <c r="E11" s="5">
        <v>3.30499E9</v>
      </c>
      <c r="F11" s="5" t="s">
        <v>38</v>
      </c>
      <c r="G11" s="5" t="s">
        <v>39</v>
      </c>
      <c r="H11" s="5" t="s">
        <v>12</v>
      </c>
      <c r="I11" s="5">
        <v>240.0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 t="s">
        <v>40</v>
      </c>
      <c r="B12" s="3">
        <v>4.901301263049E12</v>
      </c>
      <c r="C12" s="3"/>
      <c r="D12" s="4">
        <v>46154.0</v>
      </c>
      <c r="E12" s="5">
        <v>3.30499E9</v>
      </c>
      <c r="F12" s="5" t="s">
        <v>41</v>
      </c>
      <c r="G12" s="5" t="s">
        <v>39</v>
      </c>
      <c r="H12" s="5" t="s">
        <v>42</v>
      </c>
      <c r="I12" s="5">
        <v>240.0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5.29"/>
    <col customWidth="1" min="3" max="3" width="21.0"/>
    <col customWidth="1" min="4" max="4" width="39.14"/>
    <col customWidth="1" min="5" max="5" width="12.29"/>
    <col customWidth="1" min="6" max="6" width="15.43"/>
    <col customWidth="1" min="7" max="7" width="19.43"/>
    <col customWidth="1" min="8" max="8" width="15.71"/>
    <col customWidth="1" min="9" max="15" width="20.29"/>
    <col customWidth="1" min="16" max="22" width="22.0"/>
    <col customWidth="1" min="23" max="23" width="23.71"/>
    <col customWidth="1" min="24" max="26" width="9.0"/>
  </cols>
  <sheetData>
    <row r="1">
      <c r="A1" s="9"/>
      <c r="B1" s="10"/>
      <c r="C1" s="11" t="s">
        <v>43</v>
      </c>
      <c r="D1" s="12"/>
      <c r="E1" s="12"/>
      <c r="F1" s="13"/>
      <c r="G1" s="12"/>
      <c r="H1" s="13"/>
      <c r="I1" s="12"/>
      <c r="J1" s="12"/>
      <c r="K1" s="12"/>
      <c r="L1" s="12"/>
      <c r="M1" s="14">
        <v>46224.0</v>
      </c>
      <c r="N1" s="12"/>
      <c r="O1" s="12"/>
      <c r="P1" s="12"/>
      <c r="Q1" s="12"/>
      <c r="R1" s="12"/>
      <c r="S1" s="12"/>
      <c r="T1" s="12"/>
      <c r="U1" s="12"/>
      <c r="V1" s="12"/>
      <c r="W1" s="15"/>
      <c r="X1" s="16"/>
      <c r="Y1" s="17"/>
    </row>
    <row r="2">
      <c r="A2" s="18"/>
      <c r="B2" s="19"/>
      <c r="C2" s="19"/>
      <c r="D2" s="19"/>
      <c r="E2" s="19"/>
      <c r="F2" s="19"/>
      <c r="G2" s="20" t="s">
        <v>44</v>
      </c>
      <c r="H2" s="21"/>
      <c r="I2" s="22"/>
      <c r="J2" s="23" t="s">
        <v>45</v>
      </c>
      <c r="K2" s="21"/>
      <c r="L2" s="22"/>
      <c r="M2" s="24" t="s">
        <v>46</v>
      </c>
      <c r="N2" s="25" t="s">
        <v>46</v>
      </c>
      <c r="O2" s="26"/>
      <c r="P2" s="27"/>
      <c r="Q2" s="27"/>
      <c r="R2" s="27"/>
      <c r="S2" s="27"/>
      <c r="T2" s="27"/>
      <c r="U2" s="27"/>
      <c r="V2" s="27"/>
      <c r="W2" s="28"/>
      <c r="X2" s="16"/>
      <c r="Y2" s="17"/>
    </row>
    <row r="3" ht="70.5" customHeight="1">
      <c r="A3" s="29" t="s">
        <v>47</v>
      </c>
      <c r="B3" s="30" t="s">
        <v>48</v>
      </c>
      <c r="C3" s="30" t="s">
        <v>49</v>
      </c>
      <c r="D3" s="30" t="s">
        <v>50</v>
      </c>
      <c r="E3" s="30" t="s">
        <v>51</v>
      </c>
      <c r="F3" s="30" t="s">
        <v>52</v>
      </c>
      <c r="G3" s="31" t="s">
        <v>53</v>
      </c>
      <c r="H3" s="31" t="s">
        <v>54</v>
      </c>
      <c r="I3" s="32" t="s">
        <v>55</v>
      </c>
      <c r="J3" s="29" t="s">
        <v>56</v>
      </c>
      <c r="K3" s="29" t="s">
        <v>57</v>
      </c>
      <c r="L3" s="33" t="s">
        <v>58</v>
      </c>
      <c r="M3" s="33" t="s">
        <v>59</v>
      </c>
      <c r="N3" s="34" t="s">
        <v>60</v>
      </c>
      <c r="O3" s="35" t="s">
        <v>61</v>
      </c>
      <c r="P3" s="30" t="s">
        <v>62</v>
      </c>
      <c r="Q3" s="30" t="s">
        <v>63</v>
      </c>
      <c r="R3" s="30" t="s">
        <v>64</v>
      </c>
      <c r="S3" s="30" t="s">
        <v>65</v>
      </c>
      <c r="T3" s="30" t="s">
        <v>66</v>
      </c>
      <c r="U3" s="30" t="s">
        <v>67</v>
      </c>
      <c r="V3" s="30" t="s">
        <v>68</v>
      </c>
      <c r="W3" s="30" t="s">
        <v>69</v>
      </c>
      <c r="X3" s="16"/>
      <c r="Y3" s="17"/>
    </row>
    <row r="4" ht="70.5" customHeight="1">
      <c r="A4" s="36">
        <v>46168.0</v>
      </c>
      <c r="B4" s="37">
        <v>6.0</v>
      </c>
      <c r="C4" s="38">
        <v>4.901301452412E12</v>
      </c>
      <c r="D4" s="39" t="s">
        <v>70</v>
      </c>
      <c r="E4" s="40"/>
      <c r="F4" s="41">
        <v>8.0</v>
      </c>
      <c r="G4" s="42">
        <f t="shared" ref="G4:G12" si="1">H4*F4</f>
        <v>5176</v>
      </c>
      <c r="H4" s="43">
        <v>647.0</v>
      </c>
      <c r="I4" s="43">
        <v>369.0</v>
      </c>
      <c r="J4" s="44">
        <f>K4*F4</f>
        <v>3424</v>
      </c>
      <c r="K4" s="44">
        <v>428.0</v>
      </c>
      <c r="L4" s="44">
        <v>427.0</v>
      </c>
      <c r="M4" s="44">
        <f>K4-N4</f>
        <v>233</v>
      </c>
      <c r="N4" s="45">
        <v>195.0</v>
      </c>
      <c r="O4" s="46">
        <f t="shared" ref="O4:O14" si="2">G4+J4</f>
        <v>8600</v>
      </c>
      <c r="P4" s="47">
        <f>(I4+O4)*G4+(L4+O4)*J4</f>
        <v>77331992</v>
      </c>
      <c r="Q4" s="48">
        <v>0.016367778</v>
      </c>
      <c r="R4" s="48">
        <v>7.6</v>
      </c>
      <c r="S4" s="48">
        <v>8.1</v>
      </c>
      <c r="T4" s="48">
        <f t="shared" ref="T4:T14" si="3">H4*Q4</f>
        <v>10.58995237</v>
      </c>
      <c r="U4" s="48">
        <f t="shared" ref="U4:U14" si="4">H4*R4</f>
        <v>4917.2</v>
      </c>
      <c r="V4" s="48">
        <f t="shared" ref="V4:V14" si="5">H4*S4</f>
        <v>5240.7</v>
      </c>
      <c r="W4" s="49">
        <v>3.4025E9</v>
      </c>
      <c r="X4" s="50" t="s">
        <v>71</v>
      </c>
      <c r="Y4" s="17"/>
    </row>
    <row r="5" ht="70.5" customHeight="1">
      <c r="A5" s="36">
        <v>46171.0</v>
      </c>
      <c r="B5" s="37">
        <v>7.0</v>
      </c>
      <c r="C5" s="38">
        <v>4.901301452429E12</v>
      </c>
      <c r="D5" s="39" t="s">
        <v>72</v>
      </c>
      <c r="E5" s="40"/>
      <c r="F5" s="41">
        <v>8.0</v>
      </c>
      <c r="G5" s="42">
        <f t="shared" si="1"/>
        <v>3000</v>
      </c>
      <c r="H5" s="43">
        <v>375.0</v>
      </c>
      <c r="I5" s="43">
        <v>348.0</v>
      </c>
      <c r="J5" s="44"/>
      <c r="K5" s="44"/>
      <c r="L5" s="44"/>
      <c r="M5" s="44">
        <v>375.0</v>
      </c>
      <c r="N5" s="45">
        <v>0.0</v>
      </c>
      <c r="O5" s="46">
        <f t="shared" si="2"/>
        <v>3000</v>
      </c>
      <c r="P5" s="47">
        <f>(I5+O5)*G5</f>
        <v>10044000</v>
      </c>
      <c r="Q5" s="48">
        <v>0.018386004</v>
      </c>
      <c r="R5" s="48">
        <v>6.0</v>
      </c>
      <c r="S5" s="48">
        <v>6.6</v>
      </c>
      <c r="T5" s="48">
        <f t="shared" si="3"/>
        <v>6.8947515</v>
      </c>
      <c r="U5" s="48">
        <f t="shared" si="4"/>
        <v>2250</v>
      </c>
      <c r="V5" s="48">
        <f t="shared" si="5"/>
        <v>2475</v>
      </c>
      <c r="W5" s="49">
        <v>3.4025E9</v>
      </c>
      <c r="X5" s="16"/>
      <c r="Y5" s="17"/>
    </row>
    <row r="6" ht="70.5" customHeight="1">
      <c r="A6" s="36">
        <v>45968.0</v>
      </c>
      <c r="B6" s="37">
        <v>8.0</v>
      </c>
      <c r="C6" s="38">
        <v>4.901301452436E12</v>
      </c>
      <c r="D6" s="39" t="s">
        <v>73</v>
      </c>
      <c r="E6" s="40"/>
      <c r="F6" s="41">
        <v>8.0</v>
      </c>
      <c r="G6" s="42">
        <f t="shared" si="1"/>
        <v>6280</v>
      </c>
      <c r="H6" s="43">
        <v>785.0</v>
      </c>
      <c r="I6" s="43">
        <v>369.0</v>
      </c>
      <c r="J6" s="44">
        <f t="shared" ref="J6:J10" si="6">K6*F6</f>
        <v>2320</v>
      </c>
      <c r="K6" s="44">
        <v>290.0</v>
      </c>
      <c r="L6" s="44">
        <v>427.0</v>
      </c>
      <c r="M6" s="44">
        <f t="shared" ref="M6:M10" si="7">K6-N6</f>
        <v>238</v>
      </c>
      <c r="N6" s="45">
        <v>52.0</v>
      </c>
      <c r="O6" s="46">
        <f t="shared" si="2"/>
        <v>8600</v>
      </c>
      <c r="P6" s="47">
        <f t="shared" ref="P6:P10" si="8">(I6+O6)*G6+(L6+O6)*J6</f>
        <v>77267960</v>
      </c>
      <c r="Q6" s="48">
        <v>0.016367778</v>
      </c>
      <c r="R6" s="48">
        <v>7.2</v>
      </c>
      <c r="S6" s="48">
        <v>7.7</v>
      </c>
      <c r="T6" s="48">
        <f t="shared" si="3"/>
        <v>12.84870573</v>
      </c>
      <c r="U6" s="48">
        <f t="shared" si="4"/>
        <v>5652</v>
      </c>
      <c r="V6" s="48">
        <f t="shared" si="5"/>
        <v>6044.5</v>
      </c>
      <c r="W6" s="49">
        <v>3.4025E9</v>
      </c>
      <c r="X6" s="50" t="s">
        <v>74</v>
      </c>
      <c r="Y6" s="17"/>
    </row>
    <row r="7" ht="70.5" customHeight="1">
      <c r="A7" s="36">
        <v>46176.0</v>
      </c>
      <c r="B7" s="37">
        <v>9.0</v>
      </c>
      <c r="C7" s="38">
        <v>4.901301453334E12</v>
      </c>
      <c r="D7" s="39" t="s">
        <v>75</v>
      </c>
      <c r="E7" s="40"/>
      <c r="F7" s="41">
        <v>8.0</v>
      </c>
      <c r="G7" s="42">
        <f t="shared" si="1"/>
        <v>2960</v>
      </c>
      <c r="H7" s="43">
        <v>370.0</v>
      </c>
      <c r="I7" s="43">
        <v>348.0</v>
      </c>
      <c r="J7" s="44">
        <f t="shared" si="6"/>
        <v>40</v>
      </c>
      <c r="K7" s="44">
        <v>5.0</v>
      </c>
      <c r="L7" s="44">
        <v>409.0</v>
      </c>
      <c r="M7" s="44">
        <f t="shared" si="7"/>
        <v>5</v>
      </c>
      <c r="N7" s="45">
        <v>0.0</v>
      </c>
      <c r="O7" s="46">
        <f t="shared" si="2"/>
        <v>3000</v>
      </c>
      <c r="P7" s="47">
        <f t="shared" si="8"/>
        <v>10046440</v>
      </c>
      <c r="Q7" s="48">
        <v>0.018386004</v>
      </c>
      <c r="R7" s="48">
        <v>5.68</v>
      </c>
      <c r="S7" s="48">
        <v>6.2</v>
      </c>
      <c r="T7" s="48">
        <f t="shared" si="3"/>
        <v>6.80282148</v>
      </c>
      <c r="U7" s="48">
        <f t="shared" si="4"/>
        <v>2101.6</v>
      </c>
      <c r="V7" s="48">
        <f t="shared" si="5"/>
        <v>2294</v>
      </c>
      <c r="W7" s="49">
        <v>3.4025E9</v>
      </c>
      <c r="X7" s="50" t="s">
        <v>76</v>
      </c>
      <c r="Y7" s="17"/>
    </row>
    <row r="8" ht="70.5" customHeight="1">
      <c r="A8" s="36">
        <v>46190.0</v>
      </c>
      <c r="B8" s="37">
        <v>16.0</v>
      </c>
      <c r="C8" s="38" t="s">
        <v>26</v>
      </c>
      <c r="D8" s="39" t="s">
        <v>77</v>
      </c>
      <c r="E8" s="40"/>
      <c r="F8" s="51">
        <v>9.0</v>
      </c>
      <c r="G8" s="42">
        <f t="shared" si="1"/>
        <v>198</v>
      </c>
      <c r="H8" s="52">
        <v>22.0</v>
      </c>
      <c r="I8" s="43">
        <v>397.0</v>
      </c>
      <c r="J8" s="44">
        <f t="shared" si="6"/>
        <v>1062</v>
      </c>
      <c r="K8" s="44">
        <v>118.0</v>
      </c>
      <c r="L8" s="44">
        <v>414.0</v>
      </c>
      <c r="M8" s="44">
        <f t="shared" si="7"/>
        <v>88</v>
      </c>
      <c r="N8" s="45">
        <v>30.0</v>
      </c>
      <c r="O8" s="46">
        <f t="shared" si="2"/>
        <v>1260</v>
      </c>
      <c r="P8" s="47">
        <f t="shared" si="8"/>
        <v>2105874</v>
      </c>
      <c r="Q8" s="48">
        <v>0.013045362</v>
      </c>
      <c r="R8" s="48">
        <v>4.75</v>
      </c>
      <c r="S8" s="48">
        <v>5.2</v>
      </c>
      <c r="T8" s="48">
        <f t="shared" si="3"/>
        <v>0.286997964</v>
      </c>
      <c r="U8" s="48">
        <f t="shared" si="4"/>
        <v>104.5</v>
      </c>
      <c r="V8" s="48">
        <f t="shared" si="5"/>
        <v>114.4</v>
      </c>
      <c r="W8" s="49">
        <v>3.4013E9</v>
      </c>
      <c r="X8" s="50" t="s">
        <v>78</v>
      </c>
      <c r="Y8" s="17"/>
    </row>
    <row r="9" ht="70.5" customHeight="1">
      <c r="A9" s="36">
        <v>46173.0</v>
      </c>
      <c r="B9" s="37">
        <v>17.0</v>
      </c>
      <c r="C9" s="38" t="s">
        <v>32</v>
      </c>
      <c r="D9" s="39" t="s">
        <v>79</v>
      </c>
      <c r="E9" s="40"/>
      <c r="F9" s="51">
        <v>9.0</v>
      </c>
      <c r="G9" s="42">
        <f t="shared" si="1"/>
        <v>216</v>
      </c>
      <c r="H9" s="52">
        <v>24.0</v>
      </c>
      <c r="I9" s="43">
        <v>397.0</v>
      </c>
      <c r="J9" s="44">
        <f t="shared" si="6"/>
        <v>1044</v>
      </c>
      <c r="K9" s="44">
        <v>116.0</v>
      </c>
      <c r="L9" s="44">
        <v>414.0</v>
      </c>
      <c r="M9" s="44">
        <f t="shared" si="7"/>
        <v>71</v>
      </c>
      <c r="N9" s="45">
        <v>45.0</v>
      </c>
      <c r="O9" s="46">
        <f t="shared" si="2"/>
        <v>1260</v>
      </c>
      <c r="P9" s="47">
        <f t="shared" si="8"/>
        <v>2105568</v>
      </c>
      <c r="Q9" s="48">
        <v>0.013045362</v>
      </c>
      <c r="R9" s="48">
        <v>4.75</v>
      </c>
      <c r="S9" s="48">
        <v>5.2</v>
      </c>
      <c r="T9" s="48">
        <f t="shared" si="3"/>
        <v>0.313088688</v>
      </c>
      <c r="U9" s="48">
        <f t="shared" si="4"/>
        <v>114</v>
      </c>
      <c r="V9" s="48">
        <f t="shared" si="5"/>
        <v>124.8</v>
      </c>
      <c r="W9" s="49">
        <v>3.4013E9</v>
      </c>
      <c r="X9" s="50" t="s">
        <v>80</v>
      </c>
      <c r="Y9" s="17"/>
    </row>
    <row r="10" ht="70.5" customHeight="1">
      <c r="A10" s="36">
        <v>46140.0</v>
      </c>
      <c r="B10" s="37">
        <v>18.0</v>
      </c>
      <c r="C10" s="38" t="s">
        <v>35</v>
      </c>
      <c r="D10" s="39" t="s">
        <v>81</v>
      </c>
      <c r="E10" s="40"/>
      <c r="F10" s="51">
        <v>9.0</v>
      </c>
      <c r="G10" s="42">
        <f t="shared" si="1"/>
        <v>279</v>
      </c>
      <c r="H10" s="52">
        <v>31.0</v>
      </c>
      <c r="I10" s="43">
        <v>397.0</v>
      </c>
      <c r="J10" s="44">
        <f t="shared" si="6"/>
        <v>981</v>
      </c>
      <c r="K10" s="44">
        <v>109.0</v>
      </c>
      <c r="L10" s="44">
        <v>414.0</v>
      </c>
      <c r="M10" s="44">
        <f t="shared" si="7"/>
        <v>101</v>
      </c>
      <c r="N10" s="45">
        <v>8.0</v>
      </c>
      <c r="O10" s="46">
        <f t="shared" si="2"/>
        <v>1260</v>
      </c>
      <c r="P10" s="47">
        <f t="shared" si="8"/>
        <v>2104497</v>
      </c>
      <c r="Q10" s="48">
        <v>0.013045362</v>
      </c>
      <c r="R10" s="48">
        <v>4.75</v>
      </c>
      <c r="S10" s="48">
        <v>5.2</v>
      </c>
      <c r="T10" s="48">
        <f t="shared" si="3"/>
        <v>0.404406222</v>
      </c>
      <c r="U10" s="48">
        <f t="shared" si="4"/>
        <v>147.25</v>
      </c>
      <c r="V10" s="48">
        <f t="shared" si="5"/>
        <v>161.2</v>
      </c>
      <c r="W10" s="49">
        <v>3.4013E9</v>
      </c>
      <c r="X10" s="50" t="s">
        <v>82</v>
      </c>
      <c r="Y10" s="17"/>
    </row>
    <row r="11" ht="70.5" customHeight="1">
      <c r="A11" s="53">
        <v>46168.0</v>
      </c>
      <c r="B11" s="37">
        <v>20.0</v>
      </c>
      <c r="C11" s="38">
        <v>4.901301299031E12</v>
      </c>
      <c r="D11" s="39" t="s">
        <v>83</v>
      </c>
      <c r="E11" s="40"/>
      <c r="F11" s="41">
        <v>24.0</v>
      </c>
      <c r="G11" s="42">
        <f t="shared" si="1"/>
        <v>240</v>
      </c>
      <c r="H11" s="43">
        <v>10.0</v>
      </c>
      <c r="I11" s="43">
        <v>616.0</v>
      </c>
      <c r="J11" s="44"/>
      <c r="K11" s="44"/>
      <c r="L11" s="44"/>
      <c r="M11" s="44">
        <v>10.0</v>
      </c>
      <c r="N11" s="45">
        <v>0.0</v>
      </c>
      <c r="O11" s="46">
        <f t="shared" si="2"/>
        <v>240</v>
      </c>
      <c r="P11" s="47">
        <f t="shared" ref="P11:P12" si="9">(I11+O11)*G11</f>
        <v>205440</v>
      </c>
      <c r="Q11" s="54">
        <v>0.01512184464</v>
      </c>
      <c r="R11" s="54">
        <v>4.65</v>
      </c>
      <c r="S11" s="54">
        <v>5.2</v>
      </c>
      <c r="T11" s="54">
        <f t="shared" si="3"/>
        <v>0.1512184464</v>
      </c>
      <c r="U11" s="48">
        <f t="shared" si="4"/>
        <v>46.5</v>
      </c>
      <c r="V11" s="48">
        <f t="shared" si="5"/>
        <v>52</v>
      </c>
      <c r="W11" s="55">
        <v>3.30499E9</v>
      </c>
      <c r="X11" s="16"/>
      <c r="Y11" s="17"/>
    </row>
    <row r="12" ht="70.5" customHeight="1">
      <c r="A12" s="53">
        <v>46154.0</v>
      </c>
      <c r="B12" s="37">
        <v>21.0</v>
      </c>
      <c r="C12" s="38">
        <v>4.901301263049E12</v>
      </c>
      <c r="D12" s="39" t="s">
        <v>84</v>
      </c>
      <c r="E12" s="40"/>
      <c r="F12" s="41">
        <v>24.0</v>
      </c>
      <c r="G12" s="42">
        <f t="shared" si="1"/>
        <v>240</v>
      </c>
      <c r="H12" s="43">
        <v>10.0</v>
      </c>
      <c r="I12" s="43">
        <v>677.0</v>
      </c>
      <c r="J12" s="44"/>
      <c r="K12" s="44"/>
      <c r="L12" s="44"/>
      <c r="M12" s="44">
        <v>10.0</v>
      </c>
      <c r="N12" s="45">
        <v>0.0</v>
      </c>
      <c r="O12" s="46">
        <f t="shared" si="2"/>
        <v>240</v>
      </c>
      <c r="P12" s="47">
        <f t="shared" si="9"/>
        <v>220080</v>
      </c>
      <c r="Q12" s="48">
        <v>0.01246275072</v>
      </c>
      <c r="R12" s="48">
        <v>6.85</v>
      </c>
      <c r="S12" s="48">
        <v>7.1</v>
      </c>
      <c r="T12" s="48">
        <f t="shared" si="3"/>
        <v>0.1246275072</v>
      </c>
      <c r="U12" s="56">
        <f t="shared" si="4"/>
        <v>68.5</v>
      </c>
      <c r="V12" s="54">
        <f t="shared" si="5"/>
        <v>71</v>
      </c>
      <c r="W12" s="57">
        <v>3.30499E9</v>
      </c>
      <c r="X12" s="16"/>
      <c r="Y12" s="17"/>
    </row>
    <row r="13" ht="75.0" customHeight="1">
      <c r="A13" s="36"/>
      <c r="B13" s="37">
        <v>22.0</v>
      </c>
      <c r="C13" s="58" t="s">
        <v>85</v>
      </c>
      <c r="D13" s="59" t="s">
        <v>86</v>
      </c>
      <c r="E13" s="60"/>
      <c r="F13" s="61">
        <v>10.0</v>
      </c>
      <c r="G13" s="42"/>
      <c r="H13" s="43"/>
      <c r="I13" s="43"/>
      <c r="J13" s="44">
        <f t="shared" ref="J13:J14" si="10">K13*F13</f>
        <v>800</v>
      </c>
      <c r="K13" s="44">
        <v>80.0</v>
      </c>
      <c r="L13" s="44">
        <v>380.0</v>
      </c>
      <c r="M13" s="44">
        <f t="shared" ref="M13:M14" si="11">K13-N13</f>
        <v>66</v>
      </c>
      <c r="N13" s="45">
        <v>14.0</v>
      </c>
      <c r="O13" s="46">
        <f t="shared" si="2"/>
        <v>800</v>
      </c>
      <c r="P13" s="47">
        <f t="shared" ref="P13:P14" si="12">(L13+O13)*J13</f>
        <v>944000</v>
      </c>
      <c r="Q13" s="62">
        <v>0.020352</v>
      </c>
      <c r="R13" s="48">
        <v>7.5</v>
      </c>
      <c r="S13" s="48">
        <v>8.0</v>
      </c>
      <c r="T13" s="48">
        <f t="shared" si="3"/>
        <v>0</v>
      </c>
      <c r="U13" s="56">
        <f t="shared" si="4"/>
        <v>0</v>
      </c>
      <c r="V13" s="54">
        <f t="shared" si="5"/>
        <v>0</v>
      </c>
      <c r="W13" s="57">
        <v>3.4025E9</v>
      </c>
      <c r="X13" s="50" t="s">
        <v>87</v>
      </c>
      <c r="Y13" s="17"/>
    </row>
    <row r="14" ht="75.0" customHeight="1">
      <c r="A14" s="36"/>
      <c r="B14" s="37">
        <v>23.0</v>
      </c>
      <c r="C14" s="58" t="s">
        <v>88</v>
      </c>
      <c r="D14" s="63" t="s">
        <v>89</v>
      </c>
      <c r="E14" s="60"/>
      <c r="F14" s="61">
        <v>10.0</v>
      </c>
      <c r="G14" s="42"/>
      <c r="H14" s="43"/>
      <c r="I14" s="43"/>
      <c r="J14" s="44">
        <f t="shared" si="10"/>
        <v>800</v>
      </c>
      <c r="K14" s="44">
        <v>80.0</v>
      </c>
      <c r="L14" s="44">
        <v>380.0</v>
      </c>
      <c r="M14" s="44">
        <f t="shared" si="11"/>
        <v>80</v>
      </c>
      <c r="N14" s="45">
        <v>0.0</v>
      </c>
      <c r="O14" s="46">
        <f t="shared" si="2"/>
        <v>800</v>
      </c>
      <c r="P14" s="47">
        <f t="shared" si="12"/>
        <v>944000</v>
      </c>
      <c r="Q14" s="62">
        <v>0.020352</v>
      </c>
      <c r="R14" s="48">
        <v>7.2</v>
      </c>
      <c r="S14" s="48">
        <v>7.7</v>
      </c>
      <c r="T14" s="48">
        <f t="shared" si="3"/>
        <v>0</v>
      </c>
      <c r="U14" s="48">
        <f t="shared" si="4"/>
        <v>0</v>
      </c>
      <c r="V14" s="48">
        <f t="shared" si="5"/>
        <v>0</v>
      </c>
      <c r="W14" s="64">
        <v>3.4025E9</v>
      </c>
      <c r="X14" s="50" t="s">
        <v>90</v>
      </c>
      <c r="Y14" s="17"/>
    </row>
    <row r="15">
      <c r="P15" s="65">
        <f>SUM(P4:P14)</f>
        <v>183319851</v>
      </c>
      <c r="T15" s="66">
        <f t="shared" ref="T15:V15" si="13">SUM(T4:T14)</f>
        <v>38.4165699</v>
      </c>
      <c r="U15" s="66">
        <f t="shared" si="13"/>
        <v>15401.55</v>
      </c>
      <c r="V15" s="66">
        <f t="shared" si="13"/>
        <v>16577.6</v>
      </c>
      <c r="X15" s="16"/>
      <c r="Y15" s="17"/>
    </row>
    <row r="16">
      <c r="X16" s="16"/>
      <c r="Y16" s="17"/>
    </row>
    <row r="17">
      <c r="X17" s="16"/>
      <c r="Y17" s="17"/>
    </row>
    <row r="18">
      <c r="X18" s="16"/>
      <c r="Y18" s="17"/>
    </row>
    <row r="19">
      <c r="X19" s="16"/>
      <c r="Y19" s="17"/>
    </row>
    <row r="20">
      <c r="X20" s="16"/>
      <c r="Y20" s="17"/>
    </row>
    <row r="21" ht="15.75" customHeight="1">
      <c r="X21" s="16"/>
      <c r="Y21" s="17"/>
    </row>
    <row r="22" ht="15.75" customHeight="1">
      <c r="X22" s="16"/>
      <c r="Y22" s="17"/>
    </row>
    <row r="23" ht="15.75" customHeight="1">
      <c r="X23" s="16"/>
      <c r="Y23" s="17"/>
    </row>
    <row r="24" ht="15.75" customHeight="1">
      <c r="X24" s="16"/>
      <c r="Y24" s="17"/>
    </row>
    <row r="25" ht="15.75" customHeight="1">
      <c r="X25" s="16"/>
      <c r="Y25" s="17"/>
    </row>
    <row r="26" ht="15.75" customHeight="1">
      <c r="X26" s="16"/>
      <c r="Y26" s="17"/>
    </row>
    <row r="27" ht="15.75" customHeight="1">
      <c r="X27" s="16"/>
      <c r="Y27" s="17"/>
    </row>
    <row r="28" ht="15.75" customHeight="1">
      <c r="X28" s="16"/>
      <c r="Y28" s="17"/>
    </row>
    <row r="29" ht="15.75" customHeight="1">
      <c r="X29" s="16"/>
      <c r="Y29" s="17"/>
    </row>
    <row r="30" ht="15.75" customHeight="1">
      <c r="X30" s="16"/>
      <c r="Y30" s="17"/>
    </row>
    <row r="31" ht="15.75" customHeight="1">
      <c r="X31" s="16"/>
      <c r="Y31" s="17"/>
    </row>
    <row r="32" ht="15.75" customHeight="1">
      <c r="X32" s="16"/>
      <c r="Y32" s="17"/>
    </row>
    <row r="33" ht="15.75" customHeight="1">
      <c r="X33" s="16"/>
      <c r="Y33" s="17"/>
    </row>
    <row r="34" ht="15.75" customHeight="1">
      <c r="X34" s="16"/>
      <c r="Y34" s="17"/>
    </row>
    <row r="35" ht="15.75" customHeight="1">
      <c r="X35" s="16"/>
      <c r="Y35" s="17"/>
    </row>
    <row r="36" ht="15.75" customHeight="1">
      <c r="X36" s="16"/>
      <c r="Y36" s="17"/>
    </row>
    <row r="37" ht="15.75" customHeight="1">
      <c r="X37" s="16"/>
      <c r="Y37" s="17"/>
    </row>
    <row r="38" ht="15.75" customHeight="1">
      <c r="X38" s="16"/>
      <c r="Y38" s="17"/>
    </row>
    <row r="39" ht="15.75" customHeight="1">
      <c r="X39" s="16"/>
      <c r="Y39" s="17"/>
    </row>
    <row r="40" ht="15.75" customHeight="1">
      <c r="X40" s="16"/>
      <c r="Y40" s="17"/>
    </row>
    <row r="41" ht="15.75" customHeight="1">
      <c r="X41" s="16"/>
      <c r="Y41" s="17"/>
    </row>
    <row r="42" ht="15.75" customHeight="1">
      <c r="X42" s="16"/>
      <c r="Y42" s="17"/>
    </row>
    <row r="43" ht="15.75" customHeight="1">
      <c r="X43" s="16"/>
      <c r="Y43" s="17"/>
    </row>
    <row r="44" ht="15.75" customHeight="1">
      <c r="X44" s="16"/>
      <c r="Y44" s="17"/>
    </row>
    <row r="45" ht="15.75" customHeight="1">
      <c r="X45" s="16"/>
      <c r="Y45" s="17"/>
    </row>
    <row r="46" ht="15.75" customHeight="1">
      <c r="X46" s="16"/>
      <c r="Y46" s="17"/>
    </row>
    <row r="47" ht="15.75" customHeight="1">
      <c r="X47" s="16"/>
      <c r="Y47" s="17"/>
    </row>
    <row r="48" ht="15.75" customHeight="1">
      <c r="X48" s="16"/>
      <c r="Y48" s="17"/>
    </row>
    <row r="49" ht="15.75" customHeight="1">
      <c r="X49" s="16"/>
      <c r="Y49" s="17"/>
    </row>
    <row r="50" ht="15.75" customHeight="1">
      <c r="X50" s="16"/>
      <c r="Y50" s="17"/>
    </row>
    <row r="51" ht="15.75" customHeight="1">
      <c r="X51" s="16"/>
      <c r="Y51" s="17"/>
    </row>
    <row r="52" ht="15.75" customHeight="1">
      <c r="X52" s="16"/>
      <c r="Y52" s="17"/>
    </row>
    <row r="53" ht="15.75" customHeight="1">
      <c r="X53" s="16"/>
      <c r="Y53" s="17"/>
    </row>
    <row r="54" ht="15.75" customHeight="1">
      <c r="X54" s="16"/>
      <c r="Y54" s="17"/>
    </row>
    <row r="55" ht="15.75" customHeight="1">
      <c r="X55" s="16"/>
      <c r="Y55" s="17"/>
    </row>
    <row r="56" ht="15.75" customHeight="1">
      <c r="X56" s="16"/>
      <c r="Y56" s="17"/>
    </row>
    <row r="57" ht="15.75" customHeight="1">
      <c r="X57" s="16"/>
      <c r="Y57" s="17"/>
    </row>
    <row r="58" ht="15.75" customHeight="1">
      <c r="X58" s="16"/>
      <c r="Y58" s="17"/>
    </row>
    <row r="59" ht="15.75" customHeight="1">
      <c r="X59" s="16"/>
      <c r="Y59" s="17"/>
    </row>
    <row r="60" ht="15.75" customHeight="1">
      <c r="X60" s="16"/>
      <c r="Y60" s="17"/>
    </row>
    <row r="61" ht="15.75" customHeight="1">
      <c r="X61" s="16"/>
      <c r="Y61" s="17"/>
    </row>
    <row r="62" ht="15.75" customHeight="1">
      <c r="X62" s="16"/>
      <c r="Y62" s="17"/>
    </row>
    <row r="63" ht="15.75" customHeight="1">
      <c r="X63" s="16"/>
      <c r="Y63" s="17"/>
    </row>
    <row r="64" ht="15.75" customHeight="1">
      <c r="X64" s="16"/>
      <c r="Y64" s="17"/>
    </row>
    <row r="65" ht="15.75" customHeight="1">
      <c r="X65" s="16"/>
      <c r="Y65" s="17"/>
    </row>
    <row r="66" ht="15.75" customHeight="1">
      <c r="X66" s="16"/>
      <c r="Y66" s="17"/>
    </row>
    <row r="67" ht="15.75" customHeight="1">
      <c r="X67" s="16"/>
      <c r="Y67" s="17"/>
    </row>
    <row r="68" ht="15.75" customHeight="1">
      <c r="X68" s="16"/>
      <c r="Y68" s="17"/>
    </row>
    <row r="69" ht="15.75" customHeight="1">
      <c r="X69" s="16"/>
      <c r="Y69" s="17"/>
    </row>
    <row r="70" ht="15.75" customHeight="1">
      <c r="X70" s="16"/>
      <c r="Y70" s="17"/>
    </row>
    <row r="71" ht="15.75" customHeight="1">
      <c r="X71" s="16"/>
      <c r="Y71" s="17"/>
    </row>
    <row r="72" ht="15.75" customHeight="1">
      <c r="X72" s="16"/>
      <c r="Y72" s="17"/>
    </row>
    <row r="73" ht="15.75" customHeight="1">
      <c r="X73" s="16"/>
      <c r="Y73" s="17"/>
    </row>
    <row r="74" ht="15.75" customHeight="1">
      <c r="X74" s="16"/>
      <c r="Y74" s="17"/>
    </row>
    <row r="75" ht="15.75" customHeight="1">
      <c r="X75" s="16"/>
      <c r="Y75" s="17"/>
    </row>
    <row r="76" ht="15.75" customHeight="1">
      <c r="X76" s="16"/>
      <c r="Y76" s="17"/>
    </row>
    <row r="77" ht="15.75" customHeight="1">
      <c r="X77" s="16"/>
      <c r="Y77" s="17"/>
    </row>
    <row r="78" ht="15.75" customHeight="1">
      <c r="X78" s="16"/>
      <c r="Y78" s="17"/>
    </row>
    <row r="79" ht="15.75" customHeight="1">
      <c r="X79" s="16"/>
      <c r="Y79" s="17"/>
    </row>
    <row r="80" ht="15.75" customHeight="1">
      <c r="X80" s="16"/>
      <c r="Y80" s="17"/>
    </row>
    <row r="81" ht="15.75" customHeight="1">
      <c r="X81" s="16"/>
      <c r="Y81" s="17"/>
    </row>
    <row r="82" ht="15.75" customHeight="1">
      <c r="X82" s="16"/>
      <c r="Y82" s="17"/>
    </row>
    <row r="83" ht="15.75" customHeight="1">
      <c r="X83" s="16"/>
      <c r="Y83" s="17"/>
    </row>
    <row r="84" ht="15.75" customHeight="1">
      <c r="X84" s="16"/>
      <c r="Y84" s="17"/>
    </row>
    <row r="85" ht="15.75" customHeight="1">
      <c r="X85" s="16"/>
      <c r="Y85" s="17"/>
    </row>
    <row r="86" ht="15.75" customHeight="1">
      <c r="X86" s="16"/>
      <c r="Y86" s="17"/>
    </row>
    <row r="87" ht="15.75" customHeight="1">
      <c r="X87" s="16"/>
      <c r="Y87" s="17"/>
    </row>
    <row r="88" ht="15.75" customHeight="1">
      <c r="X88" s="16"/>
      <c r="Y88" s="17"/>
    </row>
    <row r="89" ht="15.75" customHeight="1">
      <c r="X89" s="16"/>
      <c r="Y89" s="17"/>
    </row>
    <row r="90" ht="15.75" customHeight="1">
      <c r="X90" s="16"/>
      <c r="Y90" s="17"/>
    </row>
    <row r="91" ht="15.75" customHeight="1">
      <c r="X91" s="16"/>
      <c r="Y91" s="17"/>
    </row>
    <row r="92" ht="15.75" customHeight="1">
      <c r="X92" s="16"/>
      <c r="Y92" s="17"/>
    </row>
    <row r="93" ht="15.75" customHeight="1">
      <c r="X93" s="16"/>
      <c r="Y93" s="17"/>
    </row>
    <row r="94" ht="15.75" customHeight="1">
      <c r="X94" s="16"/>
      <c r="Y94" s="17"/>
    </row>
    <row r="95" ht="15.75" customHeight="1">
      <c r="X95" s="16"/>
      <c r="Y95" s="17"/>
    </row>
    <row r="96" ht="15.75" customHeight="1">
      <c r="X96" s="16"/>
      <c r="Y96" s="17"/>
    </row>
    <row r="97" ht="15.75" customHeight="1">
      <c r="X97" s="16"/>
      <c r="Y97" s="17"/>
    </row>
    <row r="98" ht="15.75" customHeight="1">
      <c r="X98" s="16"/>
      <c r="Y98" s="17"/>
    </row>
    <row r="99" ht="15.75" customHeight="1">
      <c r="X99" s="16"/>
      <c r="Y99" s="17"/>
    </row>
    <row r="100" ht="15.75" customHeight="1">
      <c r="X100" s="16"/>
      <c r="Y100" s="17"/>
    </row>
    <row r="101" ht="15.75" customHeight="1">
      <c r="X101" s="16"/>
      <c r="Y101" s="17"/>
    </row>
    <row r="102" ht="15.75" customHeight="1">
      <c r="X102" s="16"/>
      <c r="Y102" s="17"/>
    </row>
    <row r="103" ht="15.75" customHeight="1">
      <c r="X103" s="16"/>
      <c r="Y103" s="17"/>
    </row>
    <row r="104" ht="15.75" customHeight="1">
      <c r="X104" s="16"/>
      <c r="Y104" s="17"/>
    </row>
    <row r="105" ht="15.75" customHeight="1">
      <c r="X105" s="16"/>
      <c r="Y105" s="17"/>
    </row>
    <row r="106" ht="15.75" customHeight="1">
      <c r="X106" s="16"/>
      <c r="Y106" s="17"/>
    </row>
    <row r="107" ht="15.75" customHeight="1">
      <c r="X107" s="16"/>
      <c r="Y107" s="17"/>
    </row>
    <row r="108" ht="15.75" customHeight="1">
      <c r="X108" s="16"/>
      <c r="Y108" s="17"/>
    </row>
    <row r="109" ht="15.75" customHeight="1">
      <c r="X109" s="16"/>
      <c r="Y109" s="17"/>
    </row>
    <row r="110" ht="15.75" customHeight="1">
      <c r="X110" s="16"/>
      <c r="Y110" s="17"/>
    </row>
    <row r="111" ht="15.75" customHeight="1">
      <c r="X111" s="16"/>
      <c r="Y111" s="17"/>
    </row>
    <row r="112" ht="15.75" customHeight="1">
      <c r="X112" s="16"/>
      <c r="Y112" s="17"/>
    </row>
    <row r="113" ht="15.75" customHeight="1">
      <c r="X113" s="16"/>
      <c r="Y113" s="17"/>
    </row>
    <row r="114" ht="15.75" customHeight="1">
      <c r="X114" s="16"/>
      <c r="Y114" s="17"/>
    </row>
    <row r="115" ht="15.75" customHeight="1">
      <c r="X115" s="16"/>
      <c r="Y115" s="17"/>
    </row>
    <row r="116" ht="15.75" customHeight="1">
      <c r="X116" s="16"/>
      <c r="Y116" s="17"/>
    </row>
    <row r="117" ht="15.75" customHeight="1">
      <c r="X117" s="16"/>
      <c r="Y117" s="17"/>
    </row>
    <row r="118" ht="15.75" customHeight="1">
      <c r="X118" s="16"/>
      <c r="Y118" s="17"/>
    </row>
    <row r="119" ht="15.75" customHeight="1">
      <c r="X119" s="16"/>
      <c r="Y119" s="17"/>
    </row>
    <row r="120" ht="15.75" customHeight="1">
      <c r="X120" s="16"/>
      <c r="Y120" s="17"/>
    </row>
    <row r="121" ht="15.75" customHeight="1">
      <c r="X121" s="16"/>
      <c r="Y121" s="17"/>
    </row>
    <row r="122" ht="15.75" customHeight="1">
      <c r="X122" s="16"/>
      <c r="Y122" s="17"/>
    </row>
    <row r="123" ht="15.75" customHeight="1">
      <c r="X123" s="16"/>
      <c r="Y123" s="17"/>
    </row>
    <row r="124" ht="15.75" customHeight="1">
      <c r="X124" s="16"/>
      <c r="Y124" s="17"/>
    </row>
    <row r="125" ht="15.75" customHeight="1">
      <c r="X125" s="16"/>
      <c r="Y125" s="17"/>
    </row>
    <row r="126" ht="15.75" customHeight="1">
      <c r="X126" s="16"/>
      <c r="Y126" s="17"/>
    </row>
    <row r="127" ht="15.75" customHeight="1">
      <c r="X127" s="16"/>
      <c r="Y127" s="17"/>
    </row>
    <row r="128" ht="15.75" customHeight="1">
      <c r="X128" s="16"/>
      <c r="Y128" s="17"/>
    </row>
    <row r="129" ht="15.75" customHeight="1">
      <c r="X129" s="16"/>
      <c r="Y129" s="17"/>
    </row>
    <row r="130" ht="15.75" customHeight="1">
      <c r="X130" s="16"/>
      <c r="Y130" s="17"/>
    </row>
    <row r="131" ht="15.75" customHeight="1">
      <c r="X131" s="16"/>
      <c r="Y131" s="17"/>
    </row>
    <row r="132" ht="15.75" customHeight="1">
      <c r="X132" s="16"/>
      <c r="Y132" s="17"/>
    </row>
    <row r="133" ht="15.75" customHeight="1">
      <c r="X133" s="16"/>
      <c r="Y133" s="17"/>
    </row>
    <row r="134" ht="15.75" customHeight="1">
      <c r="X134" s="16"/>
      <c r="Y134" s="17"/>
    </row>
    <row r="135" ht="15.75" customHeight="1">
      <c r="X135" s="16"/>
      <c r="Y135" s="17"/>
    </row>
    <row r="136" ht="15.75" customHeight="1">
      <c r="X136" s="16"/>
      <c r="Y136" s="17"/>
    </row>
    <row r="137" ht="15.75" customHeight="1">
      <c r="X137" s="16"/>
      <c r="Y137" s="17"/>
    </row>
    <row r="138" ht="15.75" customHeight="1">
      <c r="X138" s="16"/>
      <c r="Y138" s="17"/>
    </row>
    <row r="139" ht="15.75" customHeight="1">
      <c r="X139" s="16"/>
      <c r="Y139" s="17"/>
    </row>
    <row r="140" ht="15.75" customHeight="1">
      <c r="X140" s="16"/>
      <c r="Y140" s="17"/>
    </row>
    <row r="141" ht="15.75" customHeight="1">
      <c r="X141" s="16"/>
      <c r="Y141" s="17"/>
    </row>
    <row r="142" ht="15.75" customHeight="1">
      <c r="X142" s="16"/>
      <c r="Y142" s="17"/>
    </row>
    <row r="143" ht="15.75" customHeight="1">
      <c r="X143" s="16"/>
      <c r="Y143" s="17"/>
    </row>
    <row r="144" ht="15.75" customHeight="1">
      <c r="X144" s="16"/>
      <c r="Y144" s="17"/>
    </row>
    <row r="145" ht="15.75" customHeight="1">
      <c r="X145" s="16"/>
      <c r="Y145" s="17"/>
    </row>
    <row r="146" ht="15.75" customHeight="1">
      <c r="X146" s="16"/>
      <c r="Y146" s="17"/>
    </row>
    <row r="147" ht="15.75" customHeight="1">
      <c r="X147" s="16"/>
      <c r="Y147" s="17"/>
    </row>
    <row r="148" ht="15.75" customHeight="1">
      <c r="X148" s="16"/>
      <c r="Y148" s="17"/>
    </row>
    <row r="149" ht="15.75" customHeight="1">
      <c r="X149" s="16"/>
      <c r="Y149" s="17"/>
    </row>
    <row r="150" ht="15.75" customHeight="1">
      <c r="X150" s="16"/>
      <c r="Y150" s="17"/>
    </row>
    <row r="151" ht="15.75" customHeight="1">
      <c r="X151" s="16"/>
      <c r="Y151" s="17"/>
    </row>
    <row r="152" ht="15.75" customHeight="1">
      <c r="X152" s="16"/>
      <c r="Y152" s="17"/>
    </row>
    <row r="153" ht="15.75" customHeight="1">
      <c r="X153" s="16"/>
      <c r="Y153" s="17"/>
    </row>
    <row r="154" ht="15.75" customHeight="1">
      <c r="X154" s="16"/>
      <c r="Y154" s="17"/>
    </row>
    <row r="155" ht="15.75" customHeight="1">
      <c r="X155" s="16"/>
      <c r="Y155" s="17"/>
    </row>
    <row r="156" ht="15.75" customHeight="1">
      <c r="X156" s="16"/>
      <c r="Y156" s="17"/>
    </row>
    <row r="157" ht="15.75" customHeight="1">
      <c r="X157" s="16"/>
      <c r="Y157" s="17"/>
    </row>
    <row r="158" ht="15.75" customHeight="1">
      <c r="X158" s="16"/>
      <c r="Y158" s="17"/>
    </row>
    <row r="159" ht="15.75" customHeight="1">
      <c r="X159" s="16"/>
      <c r="Y159" s="17"/>
    </row>
    <row r="160" ht="15.75" customHeight="1">
      <c r="X160" s="16"/>
      <c r="Y160" s="17"/>
    </row>
    <row r="161" ht="15.75" customHeight="1">
      <c r="X161" s="16"/>
      <c r="Y161" s="17"/>
    </row>
    <row r="162" ht="15.75" customHeight="1">
      <c r="X162" s="16"/>
      <c r="Y162" s="17"/>
    </row>
    <row r="163" ht="15.75" customHeight="1">
      <c r="X163" s="16"/>
      <c r="Y163" s="17"/>
    </row>
    <row r="164" ht="15.75" customHeight="1">
      <c r="X164" s="16"/>
      <c r="Y164" s="17"/>
    </row>
    <row r="165" ht="15.75" customHeight="1">
      <c r="X165" s="16"/>
      <c r="Y165" s="17"/>
    </row>
    <row r="166" ht="15.75" customHeight="1">
      <c r="X166" s="16"/>
      <c r="Y166" s="17"/>
    </row>
    <row r="167" ht="15.75" customHeight="1">
      <c r="X167" s="16"/>
      <c r="Y167" s="17"/>
    </row>
    <row r="168" ht="15.75" customHeight="1">
      <c r="X168" s="16"/>
      <c r="Y168" s="17"/>
    </row>
    <row r="169" ht="15.75" customHeight="1">
      <c r="X169" s="16"/>
      <c r="Y169" s="17"/>
    </row>
    <row r="170" ht="15.75" customHeight="1">
      <c r="X170" s="16"/>
      <c r="Y170" s="17"/>
    </row>
    <row r="171" ht="15.75" customHeight="1">
      <c r="X171" s="16"/>
      <c r="Y171" s="17"/>
    </row>
    <row r="172" ht="15.75" customHeight="1">
      <c r="X172" s="16"/>
      <c r="Y172" s="17"/>
    </row>
    <row r="173" ht="15.75" customHeight="1">
      <c r="X173" s="16"/>
      <c r="Y173" s="17"/>
    </row>
    <row r="174" ht="15.75" customHeight="1">
      <c r="X174" s="16"/>
      <c r="Y174" s="17"/>
    </row>
    <row r="175" ht="15.75" customHeight="1">
      <c r="X175" s="16"/>
      <c r="Y175" s="17"/>
    </row>
    <row r="176" ht="15.75" customHeight="1">
      <c r="X176" s="16"/>
      <c r="Y176" s="17"/>
    </row>
    <row r="177" ht="15.75" customHeight="1">
      <c r="X177" s="16"/>
      <c r="Y177" s="17"/>
    </row>
    <row r="178" ht="15.75" customHeight="1">
      <c r="X178" s="16"/>
      <c r="Y178" s="17"/>
    </row>
    <row r="179" ht="15.75" customHeight="1">
      <c r="X179" s="16"/>
      <c r="Y179" s="17"/>
    </row>
    <row r="180" ht="15.75" customHeight="1">
      <c r="X180" s="16"/>
      <c r="Y180" s="17"/>
    </row>
    <row r="181" ht="15.75" customHeight="1">
      <c r="X181" s="16"/>
      <c r="Y181" s="17"/>
    </row>
    <row r="182" ht="15.75" customHeight="1">
      <c r="X182" s="16"/>
      <c r="Y182" s="17"/>
    </row>
    <row r="183" ht="15.75" customHeight="1">
      <c r="X183" s="16"/>
      <c r="Y183" s="17"/>
    </row>
    <row r="184" ht="15.75" customHeight="1">
      <c r="X184" s="16"/>
      <c r="Y184" s="17"/>
    </row>
    <row r="185" ht="15.75" customHeight="1">
      <c r="X185" s="16"/>
      <c r="Y185" s="17"/>
    </row>
    <row r="186" ht="15.75" customHeight="1">
      <c r="X186" s="16"/>
      <c r="Y186" s="17"/>
    </row>
    <row r="187" ht="15.75" customHeight="1">
      <c r="X187" s="16"/>
      <c r="Y187" s="17"/>
    </row>
    <row r="188" ht="15.75" customHeight="1">
      <c r="X188" s="16"/>
      <c r="Y188" s="17"/>
    </row>
    <row r="189" ht="15.75" customHeight="1">
      <c r="X189" s="16"/>
      <c r="Y189" s="17"/>
    </row>
    <row r="190" ht="15.75" customHeight="1">
      <c r="X190" s="16"/>
      <c r="Y190" s="17"/>
    </row>
    <row r="191" ht="15.75" customHeight="1">
      <c r="X191" s="16"/>
      <c r="Y191" s="17"/>
    </row>
    <row r="192" ht="15.75" customHeight="1">
      <c r="X192" s="16"/>
      <c r="Y192" s="17"/>
    </row>
    <row r="193" ht="15.75" customHeight="1">
      <c r="X193" s="16"/>
      <c r="Y193" s="17"/>
    </row>
    <row r="194" ht="15.75" customHeight="1">
      <c r="X194" s="16"/>
      <c r="Y194" s="17"/>
    </row>
    <row r="195" ht="15.75" customHeight="1">
      <c r="X195" s="16"/>
      <c r="Y195" s="17"/>
    </row>
    <row r="196" ht="15.75" customHeight="1">
      <c r="X196" s="16"/>
      <c r="Y196" s="17"/>
    </row>
    <row r="197" ht="15.75" customHeight="1">
      <c r="X197" s="16"/>
      <c r="Y197" s="17"/>
    </row>
    <row r="198" ht="15.75" customHeight="1">
      <c r="X198" s="16"/>
      <c r="Y198" s="17"/>
    </row>
    <row r="199" ht="15.75" customHeight="1">
      <c r="X199" s="16"/>
      <c r="Y199" s="17"/>
    </row>
    <row r="200" ht="15.75" customHeight="1">
      <c r="X200" s="16"/>
      <c r="Y200" s="17"/>
    </row>
    <row r="201" ht="15.75" customHeight="1">
      <c r="X201" s="16"/>
      <c r="Y201" s="17"/>
    </row>
    <row r="202" ht="15.75" customHeight="1">
      <c r="X202" s="16"/>
      <c r="Y202" s="17"/>
    </row>
    <row r="203" ht="15.75" customHeight="1">
      <c r="X203" s="16"/>
      <c r="Y203" s="17"/>
    </row>
    <row r="204" ht="15.75" customHeight="1">
      <c r="X204" s="16"/>
      <c r="Y204" s="17"/>
    </row>
    <row r="205" ht="15.75" customHeight="1">
      <c r="X205" s="16"/>
      <c r="Y205" s="17"/>
    </row>
    <row r="206" ht="15.75" customHeight="1">
      <c r="X206" s="16"/>
      <c r="Y206" s="17"/>
    </row>
    <row r="207" ht="15.75" customHeight="1">
      <c r="X207" s="16"/>
      <c r="Y207" s="17"/>
    </row>
    <row r="208" ht="15.75" customHeight="1">
      <c r="X208" s="16"/>
      <c r="Y208" s="17"/>
    </row>
    <row r="209" ht="15.75" customHeight="1">
      <c r="X209" s="16"/>
      <c r="Y209" s="17"/>
    </row>
    <row r="210" ht="15.75" customHeight="1">
      <c r="X210" s="16"/>
      <c r="Y210" s="17"/>
    </row>
    <row r="211" ht="15.75" customHeight="1">
      <c r="X211" s="16"/>
      <c r="Y211" s="17"/>
    </row>
    <row r="212" ht="15.75" customHeight="1">
      <c r="X212" s="16"/>
      <c r="Y212" s="17"/>
    </row>
    <row r="213" ht="15.75" customHeight="1">
      <c r="X213" s="16"/>
      <c r="Y213" s="17"/>
    </row>
    <row r="214" ht="15.75" customHeight="1">
      <c r="X214" s="16"/>
      <c r="Y214" s="17"/>
    </row>
    <row r="215" ht="15.75" customHeight="1">
      <c r="X215" s="16"/>
      <c r="Y215" s="17"/>
    </row>
    <row r="216" ht="15.75" customHeight="1">
      <c r="X216" s="16"/>
      <c r="Y216" s="17"/>
    </row>
    <row r="217" ht="15.75" customHeight="1">
      <c r="X217" s="16"/>
      <c r="Y217" s="17"/>
    </row>
    <row r="218" ht="15.75" customHeight="1">
      <c r="X218" s="16"/>
      <c r="Y218" s="17"/>
    </row>
    <row r="219" ht="15.75" customHeight="1">
      <c r="X219" s="16"/>
      <c r="Y219" s="17"/>
    </row>
    <row r="220" ht="15.75" customHeight="1">
      <c r="X220" s="16"/>
      <c r="Y220" s="17"/>
    </row>
    <row r="221" ht="15.75" customHeight="1">
      <c r="X221" s="16"/>
      <c r="Y221" s="17"/>
    </row>
    <row r="222" ht="15.75" customHeight="1">
      <c r="X222" s="16"/>
      <c r="Y222" s="17"/>
    </row>
    <row r="223" ht="15.75" customHeight="1">
      <c r="X223" s="16"/>
      <c r="Y223" s="17"/>
    </row>
    <row r="224" ht="15.75" customHeight="1">
      <c r="X224" s="16"/>
      <c r="Y224" s="17"/>
    </row>
    <row r="225" ht="15.75" customHeight="1">
      <c r="X225" s="16"/>
      <c r="Y225" s="17"/>
    </row>
    <row r="226" ht="15.75" customHeight="1">
      <c r="X226" s="16"/>
      <c r="Y226" s="17"/>
    </row>
    <row r="227" ht="15.75" customHeight="1">
      <c r="X227" s="16"/>
      <c r="Y227" s="17"/>
    </row>
    <row r="228" ht="15.75" customHeight="1">
      <c r="X228" s="16"/>
      <c r="Y228" s="17"/>
    </row>
    <row r="229" ht="15.75" customHeight="1">
      <c r="X229" s="16"/>
      <c r="Y229" s="17"/>
    </row>
    <row r="230" ht="15.75" customHeight="1">
      <c r="X230" s="16"/>
      <c r="Y230" s="17"/>
    </row>
    <row r="231" ht="15.75" customHeight="1">
      <c r="X231" s="16"/>
      <c r="Y231" s="17"/>
    </row>
    <row r="232" ht="15.75" customHeight="1">
      <c r="X232" s="16"/>
      <c r="Y232" s="17"/>
    </row>
    <row r="233" ht="15.75" customHeight="1">
      <c r="X233" s="16"/>
      <c r="Y233" s="17"/>
    </row>
    <row r="234" ht="15.75" customHeight="1">
      <c r="X234" s="16"/>
      <c r="Y234" s="17"/>
    </row>
    <row r="235" ht="15.75" customHeight="1">
      <c r="X235" s="16"/>
      <c r="Y235" s="17"/>
    </row>
    <row r="236" ht="15.75" customHeight="1">
      <c r="X236" s="16"/>
      <c r="Y236" s="17"/>
    </row>
    <row r="237" ht="15.75" customHeight="1">
      <c r="X237" s="16"/>
      <c r="Y237" s="17"/>
    </row>
    <row r="238" ht="15.75" customHeight="1">
      <c r="X238" s="16"/>
      <c r="Y238" s="17"/>
    </row>
    <row r="239" ht="15.75" customHeight="1">
      <c r="X239" s="16"/>
      <c r="Y239" s="17"/>
    </row>
    <row r="240" ht="15.75" customHeight="1">
      <c r="X240" s="16"/>
      <c r="Y240" s="17"/>
    </row>
    <row r="241" ht="15.75" customHeight="1">
      <c r="X241" s="16"/>
      <c r="Y241" s="17"/>
    </row>
    <row r="242" ht="15.75" customHeight="1">
      <c r="X242" s="16"/>
      <c r="Y242" s="17"/>
    </row>
    <row r="243" ht="15.75" customHeight="1">
      <c r="X243" s="16"/>
      <c r="Y243" s="17"/>
    </row>
    <row r="244" ht="15.75" customHeight="1">
      <c r="X244" s="16"/>
      <c r="Y244" s="17"/>
    </row>
    <row r="245" ht="15.75" customHeight="1">
      <c r="X245" s="16"/>
      <c r="Y245" s="17"/>
    </row>
    <row r="246" ht="15.75" customHeight="1">
      <c r="X246" s="16"/>
      <c r="Y246" s="17"/>
    </row>
    <row r="247" ht="15.75" customHeight="1">
      <c r="X247" s="16"/>
      <c r="Y247" s="17"/>
    </row>
    <row r="248" ht="15.75" customHeight="1">
      <c r="X248" s="16"/>
      <c r="Y248" s="17"/>
    </row>
    <row r="249" ht="15.75" customHeight="1">
      <c r="X249" s="16"/>
      <c r="Y249" s="17"/>
    </row>
    <row r="250" ht="15.75" customHeight="1">
      <c r="X250" s="16"/>
      <c r="Y250" s="17"/>
    </row>
    <row r="251" ht="15.75" customHeight="1">
      <c r="X251" s="16"/>
      <c r="Y251" s="17"/>
    </row>
    <row r="252" ht="15.75" customHeight="1">
      <c r="X252" s="16"/>
      <c r="Y252" s="17"/>
    </row>
    <row r="253" ht="15.75" customHeight="1">
      <c r="X253" s="16"/>
      <c r="Y253" s="17"/>
    </row>
    <row r="254" ht="15.75" customHeight="1">
      <c r="X254" s="16"/>
      <c r="Y254" s="17"/>
    </row>
    <row r="255" ht="15.75" customHeight="1">
      <c r="X255" s="16"/>
      <c r="Y255" s="17"/>
    </row>
    <row r="256" ht="15.75" customHeight="1">
      <c r="X256" s="16"/>
      <c r="Y256" s="17"/>
    </row>
    <row r="257" ht="15.75" customHeight="1">
      <c r="X257" s="16"/>
      <c r="Y257" s="17"/>
    </row>
    <row r="258" ht="15.75" customHeight="1">
      <c r="X258" s="16"/>
      <c r="Y258" s="17"/>
    </row>
    <row r="259" ht="15.75" customHeight="1">
      <c r="X259" s="16"/>
      <c r="Y259" s="17"/>
    </row>
    <row r="260" ht="15.75" customHeight="1">
      <c r="X260" s="16"/>
      <c r="Y260" s="17"/>
    </row>
    <row r="261" ht="15.75" customHeight="1">
      <c r="X261" s="16"/>
      <c r="Y261" s="17"/>
    </row>
    <row r="262" ht="15.75" customHeight="1">
      <c r="X262" s="16"/>
      <c r="Y262" s="17"/>
    </row>
    <row r="263" ht="15.75" customHeight="1">
      <c r="X263" s="16"/>
      <c r="Y263" s="17"/>
    </row>
    <row r="264" ht="15.75" customHeight="1">
      <c r="X264" s="16"/>
      <c r="Y264" s="17"/>
    </row>
    <row r="265" ht="15.75" customHeight="1">
      <c r="X265" s="16"/>
      <c r="Y265" s="17"/>
    </row>
    <row r="266" ht="15.75" customHeight="1">
      <c r="X266" s="16"/>
      <c r="Y266" s="17"/>
    </row>
    <row r="267" ht="15.75" customHeight="1">
      <c r="X267" s="16"/>
      <c r="Y267" s="17"/>
    </row>
    <row r="268" ht="15.75" customHeight="1">
      <c r="X268" s="16"/>
      <c r="Y268" s="17"/>
    </row>
    <row r="269" ht="15.75" customHeight="1">
      <c r="X269" s="16"/>
      <c r="Y269" s="17"/>
    </row>
    <row r="270" ht="15.75" customHeight="1">
      <c r="X270" s="16"/>
      <c r="Y270" s="17"/>
    </row>
    <row r="271" ht="15.75" customHeight="1">
      <c r="X271" s="16"/>
      <c r="Y271" s="17"/>
    </row>
    <row r="272" ht="15.75" customHeight="1">
      <c r="X272" s="16"/>
      <c r="Y272" s="17"/>
    </row>
    <row r="273" ht="15.75" customHeight="1">
      <c r="X273" s="16"/>
      <c r="Y273" s="17"/>
    </row>
    <row r="274" ht="15.75" customHeight="1">
      <c r="X274" s="16"/>
      <c r="Y274" s="17"/>
    </row>
    <row r="275" ht="15.75" customHeight="1">
      <c r="X275" s="16"/>
      <c r="Y275" s="17"/>
    </row>
    <row r="276" ht="15.75" customHeight="1">
      <c r="X276" s="16"/>
      <c r="Y276" s="17"/>
    </row>
    <row r="277" ht="15.75" customHeight="1">
      <c r="X277" s="16"/>
      <c r="Y277" s="17"/>
    </row>
    <row r="278" ht="15.75" customHeight="1">
      <c r="X278" s="16"/>
      <c r="Y278" s="17"/>
    </row>
    <row r="279" ht="15.75" customHeight="1">
      <c r="X279" s="16"/>
      <c r="Y279" s="17"/>
    </row>
    <row r="280" ht="15.75" customHeight="1">
      <c r="X280" s="16"/>
      <c r="Y280" s="17"/>
    </row>
    <row r="281" ht="15.75" customHeight="1">
      <c r="X281" s="16"/>
      <c r="Y281" s="17"/>
    </row>
    <row r="282" ht="15.75" customHeight="1">
      <c r="X282" s="16"/>
      <c r="Y282" s="17"/>
    </row>
    <row r="283" ht="15.75" customHeight="1">
      <c r="X283" s="16"/>
      <c r="Y283" s="17"/>
    </row>
    <row r="284" ht="15.75" customHeight="1">
      <c r="X284" s="16"/>
      <c r="Y284" s="17"/>
    </row>
    <row r="285" ht="15.75" customHeight="1">
      <c r="X285" s="16"/>
      <c r="Y285" s="17"/>
    </row>
    <row r="286" ht="15.75" customHeight="1">
      <c r="X286" s="16"/>
      <c r="Y286" s="17"/>
    </row>
    <row r="287" ht="15.75" customHeight="1">
      <c r="X287" s="16"/>
      <c r="Y287" s="17"/>
    </row>
    <row r="288" ht="15.75" customHeight="1">
      <c r="X288" s="16"/>
      <c r="Y288" s="17"/>
    </row>
    <row r="289" ht="15.75" customHeight="1">
      <c r="X289" s="16"/>
      <c r="Y289" s="17"/>
    </row>
    <row r="290" ht="15.75" customHeight="1">
      <c r="X290" s="16"/>
      <c r="Y290" s="17"/>
    </row>
    <row r="291" ht="15.75" customHeight="1">
      <c r="X291" s="16"/>
      <c r="Y291" s="17"/>
    </row>
    <row r="292" ht="15.75" customHeight="1">
      <c r="X292" s="16"/>
      <c r="Y292" s="17"/>
    </row>
    <row r="293" ht="15.75" customHeight="1">
      <c r="X293" s="16"/>
      <c r="Y293" s="17"/>
    </row>
    <row r="294" ht="15.75" customHeight="1">
      <c r="X294" s="16"/>
      <c r="Y294" s="17"/>
    </row>
    <row r="295" ht="15.75" customHeight="1">
      <c r="X295" s="16"/>
      <c r="Y295" s="17"/>
    </row>
    <row r="296" ht="15.75" customHeight="1">
      <c r="X296" s="16"/>
      <c r="Y296" s="17"/>
    </row>
    <row r="297" ht="15.75" customHeight="1">
      <c r="X297" s="16"/>
      <c r="Y297" s="17"/>
    </row>
    <row r="298" ht="15.75" customHeight="1">
      <c r="X298" s="16"/>
      <c r="Y298" s="17"/>
    </row>
    <row r="299" ht="15.75" customHeight="1">
      <c r="X299" s="16"/>
      <c r="Y299" s="17"/>
    </row>
    <row r="300" ht="15.75" customHeight="1">
      <c r="X300" s="16"/>
      <c r="Y300" s="17"/>
    </row>
    <row r="301" ht="15.75" customHeight="1">
      <c r="X301" s="16"/>
      <c r="Y301" s="17"/>
    </row>
    <row r="302" ht="15.75" customHeight="1">
      <c r="X302" s="16"/>
      <c r="Y302" s="17"/>
    </row>
    <row r="303" ht="15.75" customHeight="1">
      <c r="X303" s="16"/>
      <c r="Y303" s="17"/>
    </row>
    <row r="304" ht="15.75" customHeight="1">
      <c r="X304" s="16"/>
      <c r="Y304" s="17"/>
    </row>
    <row r="305" ht="15.75" customHeight="1">
      <c r="X305" s="16"/>
      <c r="Y305" s="17"/>
    </row>
    <row r="306" ht="15.75" customHeight="1">
      <c r="X306" s="16"/>
      <c r="Y306" s="17"/>
    </row>
    <row r="307" ht="15.75" customHeight="1">
      <c r="X307" s="16"/>
      <c r="Y307" s="17"/>
    </row>
    <row r="308" ht="15.75" customHeight="1">
      <c r="X308" s="16"/>
      <c r="Y308" s="17"/>
    </row>
    <row r="309" ht="15.75" customHeight="1">
      <c r="X309" s="16"/>
      <c r="Y309" s="17"/>
    </row>
    <row r="310" ht="15.75" customHeight="1">
      <c r="X310" s="16"/>
      <c r="Y310" s="17"/>
    </row>
    <row r="311" ht="15.75" customHeight="1">
      <c r="X311" s="16"/>
      <c r="Y311" s="17"/>
    </row>
    <row r="312" ht="15.75" customHeight="1">
      <c r="X312" s="16"/>
      <c r="Y312" s="17"/>
    </row>
    <row r="313" ht="15.75" customHeight="1">
      <c r="X313" s="16"/>
      <c r="Y313" s="17"/>
    </row>
    <row r="314" ht="15.75" customHeight="1">
      <c r="X314" s="16"/>
      <c r="Y314" s="17"/>
    </row>
    <row r="315" ht="15.75" customHeight="1">
      <c r="X315" s="16"/>
      <c r="Y315" s="17"/>
    </row>
    <row r="316" ht="15.75" customHeight="1">
      <c r="X316" s="16"/>
      <c r="Y316" s="17"/>
    </row>
    <row r="317" ht="15.75" customHeight="1">
      <c r="X317" s="16"/>
      <c r="Y317" s="17"/>
    </row>
    <row r="318" ht="15.75" customHeight="1">
      <c r="X318" s="16"/>
      <c r="Y318" s="17"/>
    </row>
    <row r="319" ht="15.75" customHeight="1">
      <c r="X319" s="16"/>
      <c r="Y319" s="17"/>
    </row>
    <row r="320" ht="15.75" customHeight="1">
      <c r="X320" s="16"/>
      <c r="Y320" s="17"/>
    </row>
    <row r="321" ht="15.75" customHeight="1">
      <c r="X321" s="16"/>
      <c r="Y321" s="17"/>
    </row>
    <row r="322" ht="15.75" customHeight="1">
      <c r="X322" s="16"/>
      <c r="Y322" s="17"/>
    </row>
    <row r="323" ht="15.75" customHeight="1">
      <c r="X323" s="16"/>
      <c r="Y323" s="17"/>
    </row>
    <row r="324" ht="15.75" customHeight="1">
      <c r="X324" s="16"/>
      <c r="Y324" s="17"/>
    </row>
    <row r="325" ht="15.75" customHeight="1">
      <c r="X325" s="16"/>
      <c r="Y325" s="17"/>
    </row>
    <row r="326" ht="15.75" customHeight="1">
      <c r="X326" s="16"/>
      <c r="Y326" s="17"/>
    </row>
    <row r="327" ht="15.75" customHeight="1">
      <c r="X327" s="16"/>
      <c r="Y327" s="17"/>
    </row>
    <row r="328" ht="15.75" customHeight="1">
      <c r="X328" s="16"/>
      <c r="Y328" s="17"/>
    </row>
    <row r="329" ht="15.75" customHeight="1">
      <c r="X329" s="16"/>
      <c r="Y329" s="17"/>
    </row>
    <row r="330" ht="15.75" customHeight="1">
      <c r="X330" s="16"/>
      <c r="Y330" s="17"/>
    </row>
    <row r="331" ht="15.75" customHeight="1">
      <c r="X331" s="16"/>
      <c r="Y331" s="17"/>
    </row>
    <row r="332" ht="15.75" customHeight="1">
      <c r="X332" s="16"/>
      <c r="Y332" s="17"/>
    </row>
    <row r="333" ht="15.75" customHeight="1">
      <c r="X333" s="16"/>
      <c r="Y333" s="17"/>
    </row>
    <row r="334" ht="15.75" customHeight="1">
      <c r="X334" s="16"/>
      <c r="Y334" s="17"/>
    </row>
    <row r="335" ht="15.75" customHeight="1">
      <c r="X335" s="16"/>
      <c r="Y335" s="17"/>
    </row>
    <row r="336" ht="15.75" customHeight="1">
      <c r="X336" s="16"/>
      <c r="Y336" s="17"/>
    </row>
    <row r="337" ht="15.75" customHeight="1">
      <c r="X337" s="16"/>
      <c r="Y337" s="17"/>
    </row>
    <row r="338" ht="15.75" customHeight="1">
      <c r="X338" s="16"/>
      <c r="Y338" s="17"/>
    </row>
    <row r="339" ht="15.75" customHeight="1">
      <c r="X339" s="16"/>
      <c r="Y339" s="17"/>
    </row>
    <row r="340" ht="15.75" customHeight="1">
      <c r="X340" s="16"/>
      <c r="Y340" s="17"/>
    </row>
    <row r="341" ht="15.75" customHeight="1">
      <c r="X341" s="16"/>
      <c r="Y341" s="17"/>
    </row>
    <row r="342" ht="15.75" customHeight="1">
      <c r="X342" s="16"/>
      <c r="Y342" s="17"/>
    </row>
    <row r="343" ht="15.75" customHeight="1">
      <c r="X343" s="16"/>
      <c r="Y343" s="17"/>
    </row>
    <row r="344" ht="15.75" customHeight="1">
      <c r="X344" s="16"/>
      <c r="Y344" s="17"/>
    </row>
    <row r="345" ht="15.75" customHeight="1">
      <c r="X345" s="16"/>
      <c r="Y345" s="17"/>
    </row>
    <row r="346" ht="15.75" customHeight="1">
      <c r="X346" s="16"/>
      <c r="Y346" s="17"/>
    </row>
    <row r="347" ht="15.75" customHeight="1">
      <c r="X347" s="16"/>
      <c r="Y347" s="17"/>
    </row>
    <row r="348" ht="15.75" customHeight="1">
      <c r="X348" s="16"/>
      <c r="Y348" s="17"/>
    </row>
    <row r="349" ht="15.75" customHeight="1">
      <c r="X349" s="16"/>
      <c r="Y349" s="17"/>
    </row>
    <row r="350" ht="15.75" customHeight="1">
      <c r="X350" s="16"/>
      <c r="Y350" s="17"/>
    </row>
    <row r="351" ht="15.75" customHeight="1">
      <c r="X351" s="16"/>
      <c r="Y351" s="17"/>
    </row>
    <row r="352" ht="15.75" customHeight="1">
      <c r="X352" s="16"/>
      <c r="Y352" s="17"/>
    </row>
    <row r="353" ht="15.75" customHeight="1">
      <c r="X353" s="16"/>
      <c r="Y353" s="17"/>
    </row>
    <row r="354" ht="15.75" customHeight="1">
      <c r="X354" s="16"/>
      <c r="Y354" s="17"/>
    </row>
    <row r="355" ht="15.75" customHeight="1">
      <c r="X355" s="16"/>
      <c r="Y355" s="17"/>
    </row>
    <row r="356" ht="15.75" customHeight="1">
      <c r="X356" s="16"/>
      <c r="Y356" s="17"/>
    </row>
    <row r="357" ht="15.75" customHeight="1">
      <c r="X357" s="16"/>
      <c r="Y357" s="17"/>
    </row>
    <row r="358" ht="15.75" customHeight="1">
      <c r="X358" s="16"/>
      <c r="Y358" s="17"/>
    </row>
    <row r="359" ht="15.75" customHeight="1">
      <c r="X359" s="16"/>
      <c r="Y359" s="17"/>
    </row>
    <row r="360" ht="15.75" customHeight="1">
      <c r="X360" s="16"/>
      <c r="Y360" s="17"/>
    </row>
    <row r="361" ht="15.75" customHeight="1">
      <c r="X361" s="16"/>
      <c r="Y361" s="17"/>
    </row>
    <row r="362" ht="15.75" customHeight="1">
      <c r="X362" s="16"/>
      <c r="Y362" s="17"/>
    </row>
    <row r="363" ht="15.75" customHeight="1">
      <c r="X363" s="16"/>
      <c r="Y363" s="17"/>
    </row>
    <row r="364" ht="15.75" customHeight="1">
      <c r="X364" s="16"/>
      <c r="Y364" s="17"/>
    </row>
    <row r="365" ht="15.75" customHeight="1">
      <c r="X365" s="16"/>
      <c r="Y365" s="17"/>
    </row>
    <row r="366" ht="15.75" customHeight="1">
      <c r="X366" s="16"/>
      <c r="Y366" s="17"/>
    </row>
    <row r="367" ht="15.75" customHeight="1">
      <c r="X367" s="16"/>
      <c r="Y367" s="17"/>
    </row>
    <row r="368" ht="15.75" customHeight="1">
      <c r="X368" s="16"/>
      <c r="Y368" s="17"/>
    </row>
    <row r="369" ht="15.75" customHeight="1">
      <c r="X369" s="16"/>
      <c r="Y369" s="17"/>
    </row>
    <row r="370" ht="15.75" customHeight="1">
      <c r="X370" s="16"/>
      <c r="Y370" s="17"/>
    </row>
    <row r="371" ht="15.75" customHeight="1">
      <c r="X371" s="16"/>
      <c r="Y371" s="17"/>
    </row>
    <row r="372" ht="15.75" customHeight="1">
      <c r="X372" s="16"/>
      <c r="Y372" s="17"/>
    </row>
    <row r="373" ht="15.75" customHeight="1">
      <c r="X373" s="16"/>
      <c r="Y373" s="17"/>
    </row>
    <row r="374" ht="15.75" customHeight="1">
      <c r="X374" s="16"/>
      <c r="Y374" s="17"/>
    </row>
    <row r="375" ht="15.75" customHeight="1">
      <c r="X375" s="16"/>
      <c r="Y375" s="17"/>
    </row>
    <row r="376" ht="15.75" customHeight="1">
      <c r="X376" s="16"/>
      <c r="Y376" s="17"/>
    </row>
    <row r="377" ht="15.75" customHeight="1">
      <c r="X377" s="16"/>
      <c r="Y377" s="17"/>
    </row>
    <row r="378" ht="15.75" customHeight="1">
      <c r="X378" s="16"/>
      <c r="Y378" s="17"/>
    </row>
    <row r="379" ht="15.75" customHeight="1">
      <c r="X379" s="16"/>
      <c r="Y379" s="17"/>
    </row>
    <row r="380" ht="15.75" customHeight="1">
      <c r="X380" s="16"/>
      <c r="Y380" s="17"/>
    </row>
    <row r="381" ht="15.75" customHeight="1">
      <c r="X381" s="16"/>
      <c r="Y381" s="17"/>
    </row>
    <row r="382" ht="15.75" customHeight="1">
      <c r="X382" s="16"/>
      <c r="Y382" s="17"/>
    </row>
    <row r="383" ht="15.75" customHeight="1">
      <c r="X383" s="16"/>
      <c r="Y383" s="17"/>
    </row>
    <row r="384" ht="15.75" customHeight="1">
      <c r="X384" s="16"/>
      <c r="Y384" s="17"/>
    </row>
    <row r="385" ht="15.75" customHeight="1">
      <c r="X385" s="16"/>
      <c r="Y385" s="17"/>
    </row>
    <row r="386" ht="15.75" customHeight="1">
      <c r="X386" s="16"/>
      <c r="Y386" s="17"/>
    </row>
    <row r="387" ht="15.75" customHeight="1">
      <c r="X387" s="16"/>
      <c r="Y387" s="17"/>
    </row>
    <row r="388" ht="15.75" customHeight="1">
      <c r="X388" s="16"/>
      <c r="Y388" s="17"/>
    </row>
    <row r="389" ht="15.75" customHeight="1">
      <c r="X389" s="16"/>
      <c r="Y389" s="17"/>
    </row>
    <row r="390" ht="15.75" customHeight="1">
      <c r="X390" s="16"/>
      <c r="Y390" s="17"/>
    </row>
    <row r="391" ht="15.75" customHeight="1">
      <c r="X391" s="16"/>
      <c r="Y391" s="17"/>
    </row>
    <row r="392" ht="15.75" customHeight="1">
      <c r="X392" s="16"/>
      <c r="Y392" s="17"/>
    </row>
    <row r="393" ht="15.75" customHeight="1">
      <c r="X393" s="16"/>
      <c r="Y393" s="17"/>
    </row>
    <row r="394" ht="15.75" customHeight="1">
      <c r="X394" s="16"/>
      <c r="Y394" s="17"/>
    </row>
    <row r="395" ht="15.75" customHeight="1">
      <c r="X395" s="16"/>
      <c r="Y395" s="17"/>
    </row>
    <row r="396" ht="15.75" customHeight="1">
      <c r="X396" s="16"/>
      <c r="Y396" s="17"/>
    </row>
    <row r="397" ht="15.75" customHeight="1">
      <c r="X397" s="16"/>
      <c r="Y397" s="17"/>
    </row>
    <row r="398" ht="15.75" customHeight="1">
      <c r="X398" s="16"/>
      <c r="Y398" s="17"/>
    </row>
    <row r="399" ht="15.75" customHeight="1">
      <c r="X399" s="16"/>
      <c r="Y399" s="17"/>
    </row>
    <row r="400" ht="15.75" customHeight="1">
      <c r="X400" s="16"/>
      <c r="Y400" s="17"/>
    </row>
    <row r="401" ht="15.75" customHeight="1">
      <c r="X401" s="16"/>
      <c r="Y401" s="17"/>
    </row>
    <row r="402" ht="15.75" customHeight="1">
      <c r="X402" s="16"/>
      <c r="Y402" s="17"/>
    </row>
    <row r="403" ht="15.75" customHeight="1">
      <c r="X403" s="16"/>
      <c r="Y403" s="17"/>
    </row>
    <row r="404" ht="15.75" customHeight="1">
      <c r="X404" s="16"/>
      <c r="Y404" s="17"/>
    </row>
    <row r="405" ht="15.75" customHeight="1">
      <c r="X405" s="16"/>
      <c r="Y405" s="17"/>
    </row>
    <row r="406" ht="15.75" customHeight="1">
      <c r="X406" s="16"/>
      <c r="Y406" s="17"/>
    </row>
    <row r="407" ht="15.75" customHeight="1">
      <c r="X407" s="16"/>
      <c r="Y407" s="17"/>
    </row>
    <row r="408" ht="15.75" customHeight="1">
      <c r="X408" s="16"/>
      <c r="Y408" s="17"/>
    </row>
    <row r="409" ht="15.75" customHeight="1">
      <c r="X409" s="16"/>
      <c r="Y409" s="17"/>
    </row>
    <row r="410" ht="15.75" customHeight="1">
      <c r="X410" s="16"/>
      <c r="Y410" s="17"/>
    </row>
    <row r="411" ht="15.75" customHeight="1">
      <c r="X411" s="16"/>
      <c r="Y411" s="17"/>
    </row>
    <row r="412" ht="15.75" customHeight="1">
      <c r="X412" s="16"/>
      <c r="Y412" s="17"/>
    </row>
    <row r="413" ht="15.75" customHeight="1">
      <c r="X413" s="16"/>
      <c r="Y413" s="17"/>
    </row>
    <row r="414" ht="15.75" customHeight="1">
      <c r="X414" s="16"/>
      <c r="Y414" s="17"/>
    </row>
    <row r="415" ht="15.75" customHeight="1">
      <c r="X415" s="16"/>
      <c r="Y415" s="17"/>
    </row>
    <row r="416" ht="15.75" customHeight="1">
      <c r="X416" s="16"/>
      <c r="Y416" s="17"/>
    </row>
    <row r="417" ht="15.75" customHeight="1">
      <c r="X417" s="16"/>
      <c r="Y417" s="17"/>
    </row>
    <row r="418" ht="15.75" customHeight="1">
      <c r="X418" s="16"/>
      <c r="Y418" s="17"/>
    </row>
    <row r="419" ht="15.75" customHeight="1">
      <c r="X419" s="16"/>
      <c r="Y419" s="17"/>
    </row>
    <row r="420" ht="15.75" customHeight="1">
      <c r="X420" s="16"/>
      <c r="Y420" s="17"/>
    </row>
    <row r="421" ht="15.75" customHeight="1">
      <c r="X421" s="16"/>
      <c r="Y421" s="17"/>
    </row>
    <row r="422" ht="15.75" customHeight="1">
      <c r="X422" s="16"/>
      <c r="Y422" s="17"/>
    </row>
    <row r="423" ht="15.75" customHeight="1">
      <c r="X423" s="16"/>
      <c r="Y423" s="17"/>
    </row>
    <row r="424" ht="15.75" customHeight="1">
      <c r="X424" s="16"/>
      <c r="Y424" s="17"/>
    </row>
    <row r="425" ht="15.75" customHeight="1">
      <c r="X425" s="16"/>
      <c r="Y425" s="17"/>
    </row>
    <row r="426" ht="15.75" customHeight="1">
      <c r="X426" s="16"/>
      <c r="Y426" s="17"/>
    </row>
    <row r="427" ht="15.75" customHeight="1">
      <c r="X427" s="16"/>
      <c r="Y427" s="17"/>
    </row>
    <row r="428" ht="15.75" customHeight="1">
      <c r="X428" s="16"/>
      <c r="Y428" s="17"/>
    </row>
    <row r="429" ht="15.75" customHeight="1">
      <c r="X429" s="16"/>
      <c r="Y429" s="17"/>
    </row>
    <row r="430" ht="15.75" customHeight="1">
      <c r="X430" s="16"/>
      <c r="Y430" s="17"/>
    </row>
    <row r="431" ht="15.75" customHeight="1">
      <c r="X431" s="16"/>
      <c r="Y431" s="17"/>
    </row>
    <row r="432" ht="15.75" customHeight="1">
      <c r="X432" s="16"/>
      <c r="Y432" s="17"/>
    </row>
    <row r="433" ht="15.75" customHeight="1">
      <c r="X433" s="16"/>
      <c r="Y433" s="17"/>
    </row>
    <row r="434" ht="15.75" customHeight="1">
      <c r="X434" s="16"/>
      <c r="Y434" s="17"/>
    </row>
    <row r="435" ht="15.75" customHeight="1">
      <c r="X435" s="16"/>
      <c r="Y435" s="17"/>
    </row>
    <row r="436" ht="15.75" customHeight="1">
      <c r="X436" s="16"/>
      <c r="Y436" s="17"/>
    </row>
    <row r="437" ht="15.75" customHeight="1">
      <c r="X437" s="16"/>
      <c r="Y437" s="17"/>
    </row>
    <row r="438" ht="15.75" customHeight="1">
      <c r="X438" s="16"/>
      <c r="Y438" s="17"/>
    </row>
    <row r="439" ht="15.75" customHeight="1">
      <c r="X439" s="16"/>
      <c r="Y439" s="17"/>
    </row>
    <row r="440" ht="15.75" customHeight="1">
      <c r="X440" s="16"/>
      <c r="Y440" s="17"/>
    </row>
    <row r="441" ht="15.75" customHeight="1">
      <c r="X441" s="16"/>
      <c r="Y441" s="17"/>
    </row>
    <row r="442" ht="15.75" customHeight="1">
      <c r="X442" s="16"/>
      <c r="Y442" s="17"/>
    </row>
    <row r="443" ht="15.75" customHeight="1">
      <c r="X443" s="16"/>
      <c r="Y443" s="17"/>
    </row>
    <row r="444" ht="15.75" customHeight="1">
      <c r="X444" s="16"/>
      <c r="Y444" s="17"/>
    </row>
    <row r="445" ht="15.75" customHeight="1">
      <c r="X445" s="16"/>
      <c r="Y445" s="17"/>
    </row>
    <row r="446" ht="15.75" customHeight="1">
      <c r="X446" s="16"/>
      <c r="Y446" s="17"/>
    </row>
    <row r="447" ht="15.75" customHeight="1">
      <c r="X447" s="16"/>
      <c r="Y447" s="17"/>
    </row>
    <row r="448" ht="15.75" customHeight="1">
      <c r="X448" s="16"/>
      <c r="Y448" s="17"/>
    </row>
    <row r="449" ht="15.75" customHeight="1">
      <c r="X449" s="16"/>
      <c r="Y449" s="17"/>
    </row>
    <row r="450" ht="15.75" customHeight="1">
      <c r="X450" s="16"/>
      <c r="Y450" s="17"/>
    </row>
    <row r="451" ht="15.75" customHeight="1">
      <c r="X451" s="16"/>
      <c r="Y451" s="17"/>
    </row>
    <row r="452" ht="15.75" customHeight="1">
      <c r="X452" s="16"/>
      <c r="Y452" s="17"/>
    </row>
    <row r="453" ht="15.75" customHeight="1">
      <c r="X453" s="16"/>
      <c r="Y453" s="17"/>
    </row>
    <row r="454" ht="15.75" customHeight="1">
      <c r="X454" s="16"/>
      <c r="Y454" s="17"/>
    </row>
    <row r="455" ht="15.75" customHeight="1">
      <c r="X455" s="16"/>
      <c r="Y455" s="17"/>
    </row>
    <row r="456" ht="15.75" customHeight="1">
      <c r="X456" s="16"/>
      <c r="Y456" s="17"/>
    </row>
    <row r="457" ht="15.75" customHeight="1">
      <c r="X457" s="16"/>
      <c r="Y457" s="17"/>
    </row>
    <row r="458" ht="15.75" customHeight="1">
      <c r="X458" s="16"/>
      <c r="Y458" s="17"/>
    </row>
    <row r="459" ht="15.75" customHeight="1">
      <c r="X459" s="16"/>
      <c r="Y459" s="17"/>
    </row>
    <row r="460" ht="15.75" customHeight="1">
      <c r="X460" s="16"/>
      <c r="Y460" s="17"/>
    </row>
    <row r="461" ht="15.75" customHeight="1">
      <c r="X461" s="16"/>
      <c r="Y461" s="17"/>
    </row>
    <row r="462" ht="15.75" customHeight="1">
      <c r="X462" s="16"/>
      <c r="Y462" s="17"/>
    </row>
    <row r="463" ht="15.75" customHeight="1">
      <c r="X463" s="16"/>
      <c r="Y463" s="17"/>
    </row>
    <row r="464" ht="15.75" customHeight="1">
      <c r="X464" s="16"/>
      <c r="Y464" s="17"/>
    </row>
    <row r="465" ht="15.75" customHeight="1">
      <c r="X465" s="16"/>
      <c r="Y465" s="17"/>
    </row>
    <row r="466" ht="15.75" customHeight="1">
      <c r="X466" s="16"/>
      <c r="Y466" s="17"/>
    </row>
    <row r="467" ht="15.75" customHeight="1">
      <c r="X467" s="16"/>
      <c r="Y467" s="17"/>
    </row>
    <row r="468" ht="15.75" customHeight="1">
      <c r="X468" s="16"/>
      <c r="Y468" s="17"/>
    </row>
    <row r="469" ht="15.75" customHeight="1">
      <c r="X469" s="16"/>
      <c r="Y469" s="17"/>
    </row>
    <row r="470" ht="15.75" customHeight="1">
      <c r="X470" s="16"/>
      <c r="Y470" s="17"/>
    </row>
    <row r="471" ht="15.75" customHeight="1">
      <c r="X471" s="16"/>
      <c r="Y471" s="17"/>
    </row>
    <row r="472" ht="15.75" customHeight="1">
      <c r="X472" s="16"/>
      <c r="Y472" s="17"/>
    </row>
    <row r="473" ht="15.75" customHeight="1">
      <c r="X473" s="16"/>
      <c r="Y473" s="17"/>
    </row>
    <row r="474" ht="15.75" customHeight="1">
      <c r="X474" s="16"/>
      <c r="Y474" s="17"/>
    </row>
    <row r="475" ht="15.75" customHeight="1">
      <c r="X475" s="16"/>
      <c r="Y475" s="17"/>
    </row>
    <row r="476" ht="15.75" customHeight="1">
      <c r="X476" s="16"/>
      <c r="Y476" s="17"/>
    </row>
    <row r="477" ht="15.75" customHeight="1">
      <c r="X477" s="16"/>
      <c r="Y477" s="17"/>
    </row>
    <row r="478" ht="15.75" customHeight="1">
      <c r="X478" s="16"/>
      <c r="Y478" s="17"/>
    </row>
    <row r="479" ht="15.75" customHeight="1">
      <c r="X479" s="16"/>
      <c r="Y479" s="17"/>
    </row>
    <row r="480" ht="15.75" customHeight="1">
      <c r="X480" s="16"/>
      <c r="Y480" s="17"/>
    </row>
    <row r="481" ht="15.75" customHeight="1">
      <c r="X481" s="16"/>
      <c r="Y481" s="17"/>
    </row>
    <row r="482" ht="15.75" customHeight="1">
      <c r="X482" s="16"/>
      <c r="Y482" s="17"/>
    </row>
    <row r="483" ht="15.75" customHeight="1">
      <c r="X483" s="16"/>
      <c r="Y483" s="17"/>
    </row>
    <row r="484" ht="15.75" customHeight="1">
      <c r="X484" s="16"/>
      <c r="Y484" s="17"/>
    </row>
    <row r="485" ht="15.75" customHeight="1">
      <c r="X485" s="16"/>
      <c r="Y485" s="17"/>
    </row>
    <row r="486" ht="15.75" customHeight="1">
      <c r="X486" s="16"/>
      <c r="Y486" s="17"/>
    </row>
    <row r="487" ht="15.75" customHeight="1">
      <c r="X487" s="16"/>
      <c r="Y487" s="17"/>
    </row>
    <row r="488" ht="15.75" customHeight="1">
      <c r="X488" s="16"/>
      <c r="Y488" s="17"/>
    </row>
    <row r="489" ht="15.75" customHeight="1">
      <c r="X489" s="16"/>
      <c r="Y489" s="17"/>
    </row>
    <row r="490" ht="15.75" customHeight="1">
      <c r="X490" s="16"/>
      <c r="Y490" s="17"/>
    </row>
    <row r="491" ht="15.75" customHeight="1">
      <c r="X491" s="16"/>
      <c r="Y491" s="17"/>
    </row>
    <row r="492" ht="15.75" customHeight="1">
      <c r="X492" s="16"/>
      <c r="Y492" s="17"/>
    </row>
    <row r="493" ht="15.75" customHeight="1">
      <c r="X493" s="16"/>
      <c r="Y493" s="17"/>
    </row>
    <row r="494" ht="15.75" customHeight="1">
      <c r="X494" s="16"/>
      <c r="Y494" s="17"/>
    </row>
    <row r="495" ht="15.75" customHeight="1">
      <c r="X495" s="16"/>
      <c r="Y495" s="17"/>
    </row>
    <row r="496" ht="15.75" customHeight="1">
      <c r="X496" s="16"/>
      <c r="Y496" s="17"/>
    </row>
    <row r="497" ht="15.75" customHeight="1">
      <c r="X497" s="16"/>
      <c r="Y497" s="17"/>
    </row>
    <row r="498" ht="15.75" customHeight="1">
      <c r="X498" s="16"/>
      <c r="Y498" s="17"/>
    </row>
    <row r="499" ht="15.75" customHeight="1">
      <c r="X499" s="16"/>
      <c r="Y499" s="17"/>
    </row>
    <row r="500" ht="15.75" customHeight="1">
      <c r="X500" s="16"/>
      <c r="Y500" s="17"/>
    </row>
    <row r="501" ht="15.75" customHeight="1">
      <c r="X501" s="16"/>
      <c r="Y501" s="17"/>
    </row>
    <row r="502" ht="15.75" customHeight="1">
      <c r="X502" s="16"/>
      <c r="Y502" s="17"/>
    </row>
    <row r="503" ht="15.75" customHeight="1">
      <c r="X503" s="16"/>
      <c r="Y503" s="17"/>
    </row>
    <row r="504" ht="15.75" customHeight="1">
      <c r="X504" s="16"/>
      <c r="Y504" s="17"/>
    </row>
    <row r="505" ht="15.75" customHeight="1">
      <c r="X505" s="16"/>
      <c r="Y505" s="17"/>
    </row>
    <row r="506" ht="15.75" customHeight="1">
      <c r="X506" s="16"/>
      <c r="Y506" s="17"/>
    </row>
    <row r="507" ht="15.75" customHeight="1">
      <c r="X507" s="16"/>
      <c r="Y507" s="17"/>
    </row>
    <row r="508" ht="15.75" customHeight="1">
      <c r="X508" s="16"/>
      <c r="Y508" s="17"/>
    </row>
    <row r="509" ht="15.75" customHeight="1">
      <c r="X509" s="16"/>
      <c r="Y509" s="17"/>
    </row>
    <row r="510" ht="15.75" customHeight="1">
      <c r="X510" s="16"/>
      <c r="Y510" s="17"/>
    </row>
    <row r="511" ht="15.75" customHeight="1">
      <c r="X511" s="16"/>
      <c r="Y511" s="17"/>
    </row>
    <row r="512" ht="15.75" customHeight="1">
      <c r="X512" s="16"/>
      <c r="Y512" s="17"/>
    </row>
    <row r="513" ht="15.75" customHeight="1">
      <c r="X513" s="16"/>
      <c r="Y513" s="17"/>
    </row>
    <row r="514" ht="15.75" customHeight="1">
      <c r="X514" s="16"/>
      <c r="Y514" s="17"/>
    </row>
    <row r="515" ht="15.75" customHeight="1">
      <c r="X515" s="16"/>
      <c r="Y515" s="17"/>
    </row>
    <row r="516" ht="15.75" customHeight="1">
      <c r="X516" s="16"/>
      <c r="Y516" s="17"/>
    </row>
    <row r="517" ht="15.75" customHeight="1">
      <c r="X517" s="16"/>
      <c r="Y517" s="17"/>
    </row>
    <row r="518" ht="15.75" customHeight="1">
      <c r="X518" s="16"/>
      <c r="Y518" s="17"/>
    </row>
    <row r="519" ht="15.75" customHeight="1">
      <c r="X519" s="16"/>
      <c r="Y519" s="17"/>
    </row>
    <row r="520" ht="15.75" customHeight="1">
      <c r="X520" s="16"/>
      <c r="Y520" s="17"/>
    </row>
    <row r="521" ht="15.75" customHeight="1">
      <c r="X521" s="16"/>
      <c r="Y521" s="17"/>
    </row>
    <row r="522" ht="15.75" customHeight="1">
      <c r="X522" s="16"/>
      <c r="Y522" s="17"/>
    </row>
    <row r="523" ht="15.75" customHeight="1">
      <c r="X523" s="16"/>
      <c r="Y523" s="17"/>
    </row>
    <row r="524" ht="15.75" customHeight="1">
      <c r="X524" s="16"/>
      <c r="Y524" s="17"/>
    </row>
    <row r="525" ht="15.75" customHeight="1">
      <c r="X525" s="16"/>
      <c r="Y525" s="17"/>
    </row>
    <row r="526" ht="15.75" customHeight="1">
      <c r="X526" s="16"/>
      <c r="Y526" s="17"/>
    </row>
    <row r="527" ht="15.75" customHeight="1">
      <c r="X527" s="16"/>
      <c r="Y527" s="17"/>
    </row>
    <row r="528" ht="15.75" customHeight="1">
      <c r="X528" s="16"/>
      <c r="Y528" s="17"/>
    </row>
    <row r="529" ht="15.75" customHeight="1">
      <c r="X529" s="16"/>
      <c r="Y529" s="17"/>
    </row>
    <row r="530" ht="15.75" customHeight="1">
      <c r="X530" s="16"/>
      <c r="Y530" s="17"/>
    </row>
    <row r="531" ht="15.75" customHeight="1">
      <c r="X531" s="16"/>
      <c r="Y531" s="17"/>
    </row>
    <row r="532" ht="15.75" customHeight="1">
      <c r="X532" s="16"/>
      <c r="Y532" s="17"/>
    </row>
    <row r="533" ht="15.75" customHeight="1">
      <c r="X533" s="16"/>
      <c r="Y533" s="17"/>
    </row>
    <row r="534" ht="15.75" customHeight="1">
      <c r="X534" s="16"/>
      <c r="Y534" s="17"/>
    </row>
    <row r="535" ht="15.75" customHeight="1">
      <c r="X535" s="16"/>
      <c r="Y535" s="17"/>
    </row>
    <row r="536" ht="15.75" customHeight="1">
      <c r="X536" s="16"/>
      <c r="Y536" s="17"/>
    </row>
    <row r="537" ht="15.75" customHeight="1">
      <c r="X537" s="16"/>
      <c r="Y537" s="17"/>
    </row>
    <row r="538" ht="15.75" customHeight="1">
      <c r="X538" s="16"/>
      <c r="Y538" s="17"/>
    </row>
    <row r="539" ht="15.75" customHeight="1">
      <c r="X539" s="16"/>
      <c r="Y539" s="17"/>
    </row>
    <row r="540" ht="15.75" customHeight="1">
      <c r="X540" s="16"/>
      <c r="Y540" s="17"/>
    </row>
    <row r="541" ht="15.75" customHeight="1">
      <c r="X541" s="16"/>
      <c r="Y541" s="17"/>
    </row>
    <row r="542" ht="15.75" customHeight="1">
      <c r="X542" s="16"/>
      <c r="Y542" s="17"/>
    </row>
    <row r="543" ht="15.75" customHeight="1">
      <c r="X543" s="16"/>
      <c r="Y543" s="17"/>
    </row>
    <row r="544" ht="15.75" customHeight="1">
      <c r="X544" s="16"/>
      <c r="Y544" s="17"/>
    </row>
    <row r="545" ht="15.75" customHeight="1">
      <c r="X545" s="16"/>
      <c r="Y545" s="17"/>
    </row>
    <row r="546" ht="15.75" customHeight="1">
      <c r="X546" s="16"/>
      <c r="Y546" s="17"/>
    </row>
    <row r="547" ht="15.75" customHeight="1">
      <c r="X547" s="16"/>
      <c r="Y547" s="17"/>
    </row>
    <row r="548" ht="15.75" customHeight="1">
      <c r="X548" s="16"/>
      <c r="Y548" s="17"/>
    </row>
    <row r="549" ht="15.75" customHeight="1">
      <c r="X549" s="16"/>
      <c r="Y549" s="17"/>
    </row>
    <row r="550" ht="15.75" customHeight="1">
      <c r="X550" s="16"/>
      <c r="Y550" s="17"/>
    </row>
    <row r="551" ht="15.75" customHeight="1">
      <c r="X551" s="16"/>
      <c r="Y551" s="17"/>
    </row>
    <row r="552" ht="15.75" customHeight="1">
      <c r="X552" s="16"/>
      <c r="Y552" s="17"/>
    </row>
    <row r="553" ht="15.75" customHeight="1">
      <c r="X553" s="16"/>
      <c r="Y553" s="17"/>
    </row>
    <row r="554" ht="15.75" customHeight="1">
      <c r="X554" s="16"/>
      <c r="Y554" s="17"/>
    </row>
    <row r="555" ht="15.75" customHeight="1">
      <c r="X555" s="16"/>
      <c r="Y555" s="17"/>
    </row>
    <row r="556" ht="15.75" customHeight="1">
      <c r="X556" s="16"/>
      <c r="Y556" s="17"/>
    </row>
    <row r="557" ht="15.75" customHeight="1">
      <c r="X557" s="16"/>
      <c r="Y557" s="17"/>
    </row>
    <row r="558" ht="15.75" customHeight="1">
      <c r="X558" s="16"/>
      <c r="Y558" s="17"/>
    </row>
    <row r="559" ht="15.75" customHeight="1">
      <c r="X559" s="16"/>
      <c r="Y559" s="17"/>
    </row>
    <row r="560" ht="15.75" customHeight="1">
      <c r="X560" s="16"/>
      <c r="Y560" s="17"/>
    </row>
    <row r="561" ht="15.75" customHeight="1">
      <c r="X561" s="16"/>
      <c r="Y561" s="17"/>
    </row>
    <row r="562" ht="15.75" customHeight="1">
      <c r="X562" s="16"/>
      <c r="Y562" s="17"/>
    </row>
    <row r="563" ht="15.75" customHeight="1">
      <c r="X563" s="16"/>
      <c r="Y563" s="17"/>
    </row>
    <row r="564" ht="15.75" customHeight="1">
      <c r="X564" s="16"/>
      <c r="Y564" s="17"/>
    </row>
    <row r="565" ht="15.75" customHeight="1">
      <c r="X565" s="16"/>
      <c r="Y565" s="17"/>
    </row>
    <row r="566" ht="15.75" customHeight="1">
      <c r="X566" s="16"/>
      <c r="Y566" s="17"/>
    </row>
    <row r="567" ht="15.75" customHeight="1">
      <c r="X567" s="16"/>
      <c r="Y567" s="17"/>
    </row>
    <row r="568" ht="15.75" customHeight="1">
      <c r="X568" s="16"/>
      <c r="Y568" s="17"/>
    </row>
    <row r="569" ht="15.75" customHeight="1">
      <c r="X569" s="16"/>
      <c r="Y569" s="17"/>
    </row>
    <row r="570" ht="15.75" customHeight="1">
      <c r="X570" s="16"/>
      <c r="Y570" s="17"/>
    </row>
    <row r="571" ht="15.75" customHeight="1">
      <c r="X571" s="16"/>
      <c r="Y571" s="17"/>
    </row>
    <row r="572" ht="15.75" customHeight="1">
      <c r="X572" s="16"/>
      <c r="Y572" s="17"/>
    </row>
    <row r="573" ht="15.75" customHeight="1">
      <c r="X573" s="16"/>
      <c r="Y573" s="17"/>
    </row>
    <row r="574" ht="15.75" customHeight="1">
      <c r="X574" s="16"/>
      <c r="Y574" s="17"/>
    </row>
    <row r="575" ht="15.75" customHeight="1">
      <c r="X575" s="16"/>
      <c r="Y575" s="17"/>
    </row>
    <row r="576" ht="15.75" customHeight="1">
      <c r="X576" s="16"/>
      <c r="Y576" s="17"/>
    </row>
    <row r="577" ht="15.75" customHeight="1">
      <c r="X577" s="16"/>
      <c r="Y577" s="17"/>
    </row>
    <row r="578" ht="15.75" customHeight="1">
      <c r="X578" s="16"/>
      <c r="Y578" s="17"/>
    </row>
    <row r="579" ht="15.75" customHeight="1">
      <c r="X579" s="16"/>
      <c r="Y579" s="17"/>
    </row>
    <row r="580" ht="15.75" customHeight="1">
      <c r="X580" s="16"/>
      <c r="Y580" s="17"/>
    </row>
    <row r="581" ht="15.75" customHeight="1">
      <c r="X581" s="16"/>
      <c r="Y581" s="17"/>
    </row>
    <row r="582" ht="15.75" customHeight="1">
      <c r="X582" s="16"/>
      <c r="Y582" s="17"/>
    </row>
    <row r="583" ht="15.75" customHeight="1">
      <c r="X583" s="16"/>
      <c r="Y583" s="17"/>
    </row>
    <row r="584" ht="15.75" customHeight="1">
      <c r="X584" s="16"/>
      <c r="Y584" s="17"/>
    </row>
    <row r="585" ht="15.75" customHeight="1">
      <c r="X585" s="16"/>
      <c r="Y585" s="17"/>
    </row>
    <row r="586" ht="15.75" customHeight="1">
      <c r="X586" s="16"/>
      <c r="Y586" s="17"/>
    </row>
    <row r="587" ht="15.75" customHeight="1">
      <c r="X587" s="16"/>
      <c r="Y587" s="17"/>
    </row>
    <row r="588" ht="15.75" customHeight="1">
      <c r="X588" s="16"/>
      <c r="Y588" s="17"/>
    </row>
    <row r="589" ht="15.75" customHeight="1">
      <c r="X589" s="16"/>
      <c r="Y589" s="17"/>
    </row>
    <row r="590" ht="15.75" customHeight="1">
      <c r="X590" s="16"/>
      <c r="Y590" s="17"/>
    </row>
    <row r="591" ht="15.75" customHeight="1">
      <c r="X591" s="16"/>
      <c r="Y591" s="17"/>
    </row>
    <row r="592" ht="15.75" customHeight="1">
      <c r="X592" s="16"/>
      <c r="Y592" s="17"/>
    </row>
    <row r="593" ht="15.75" customHeight="1">
      <c r="X593" s="16"/>
      <c r="Y593" s="17"/>
    </row>
    <row r="594" ht="15.75" customHeight="1">
      <c r="X594" s="16"/>
      <c r="Y594" s="17"/>
    </row>
    <row r="595" ht="15.75" customHeight="1">
      <c r="X595" s="16"/>
      <c r="Y595" s="17"/>
    </row>
    <row r="596" ht="15.75" customHeight="1">
      <c r="X596" s="16"/>
      <c r="Y596" s="17"/>
    </row>
    <row r="597" ht="15.75" customHeight="1">
      <c r="X597" s="16"/>
      <c r="Y597" s="17"/>
    </row>
    <row r="598" ht="15.75" customHeight="1">
      <c r="X598" s="16"/>
      <c r="Y598" s="17"/>
    </row>
    <row r="599" ht="15.75" customHeight="1">
      <c r="X599" s="16"/>
      <c r="Y599" s="17"/>
    </row>
    <row r="600" ht="15.75" customHeight="1">
      <c r="X600" s="16"/>
      <c r="Y600" s="17"/>
    </row>
    <row r="601" ht="15.75" customHeight="1">
      <c r="X601" s="16"/>
      <c r="Y601" s="17"/>
    </row>
    <row r="602" ht="15.75" customHeight="1">
      <c r="X602" s="16"/>
      <c r="Y602" s="17"/>
    </row>
    <row r="603" ht="15.75" customHeight="1">
      <c r="X603" s="16"/>
      <c r="Y603" s="17"/>
    </row>
    <row r="604" ht="15.75" customHeight="1">
      <c r="X604" s="16"/>
      <c r="Y604" s="17"/>
    </row>
    <row r="605" ht="15.75" customHeight="1">
      <c r="X605" s="16"/>
      <c r="Y605" s="17"/>
    </row>
    <row r="606" ht="15.75" customHeight="1">
      <c r="X606" s="16"/>
      <c r="Y606" s="17"/>
    </row>
    <row r="607" ht="15.75" customHeight="1">
      <c r="X607" s="16"/>
      <c r="Y607" s="17"/>
    </row>
    <row r="608" ht="15.75" customHeight="1">
      <c r="X608" s="16"/>
      <c r="Y608" s="17"/>
    </row>
    <row r="609" ht="15.75" customHeight="1">
      <c r="X609" s="16"/>
      <c r="Y609" s="17"/>
    </row>
    <row r="610" ht="15.75" customHeight="1">
      <c r="X610" s="16"/>
      <c r="Y610" s="17"/>
    </row>
    <row r="611" ht="15.75" customHeight="1">
      <c r="X611" s="16"/>
      <c r="Y611" s="17"/>
    </row>
    <row r="612" ht="15.75" customHeight="1">
      <c r="X612" s="16"/>
      <c r="Y612" s="17"/>
    </row>
    <row r="613" ht="15.75" customHeight="1">
      <c r="X613" s="16"/>
      <c r="Y613" s="17"/>
    </row>
    <row r="614" ht="15.75" customHeight="1">
      <c r="X614" s="16"/>
      <c r="Y614" s="17"/>
    </row>
    <row r="615" ht="15.75" customHeight="1">
      <c r="X615" s="16"/>
      <c r="Y615" s="17"/>
    </row>
    <row r="616" ht="15.75" customHeight="1">
      <c r="X616" s="16"/>
      <c r="Y616" s="17"/>
    </row>
    <row r="617" ht="15.75" customHeight="1">
      <c r="X617" s="16"/>
      <c r="Y617" s="17"/>
    </row>
    <row r="618" ht="15.75" customHeight="1">
      <c r="X618" s="16"/>
      <c r="Y618" s="17"/>
    </row>
    <row r="619" ht="15.75" customHeight="1">
      <c r="X619" s="16"/>
      <c r="Y619" s="17"/>
    </row>
    <row r="620" ht="15.75" customHeight="1">
      <c r="X620" s="16"/>
      <c r="Y620" s="17"/>
    </row>
    <row r="621" ht="15.75" customHeight="1">
      <c r="X621" s="16"/>
      <c r="Y621" s="17"/>
    </row>
    <row r="622" ht="15.75" customHeight="1">
      <c r="X622" s="16"/>
      <c r="Y622" s="17"/>
    </row>
    <row r="623" ht="15.75" customHeight="1">
      <c r="X623" s="16"/>
      <c r="Y623" s="17"/>
    </row>
    <row r="624" ht="15.75" customHeight="1">
      <c r="X624" s="16"/>
      <c r="Y624" s="17"/>
    </row>
    <row r="625" ht="15.75" customHeight="1">
      <c r="X625" s="16"/>
      <c r="Y625" s="17"/>
    </row>
    <row r="626" ht="15.75" customHeight="1">
      <c r="X626" s="16"/>
      <c r="Y626" s="17"/>
    </row>
    <row r="627" ht="15.75" customHeight="1">
      <c r="X627" s="16"/>
      <c r="Y627" s="17"/>
    </row>
    <row r="628" ht="15.75" customHeight="1">
      <c r="X628" s="16"/>
      <c r="Y628" s="17"/>
    </row>
    <row r="629" ht="15.75" customHeight="1">
      <c r="X629" s="16"/>
      <c r="Y629" s="17"/>
    </row>
    <row r="630" ht="15.75" customHeight="1">
      <c r="X630" s="16"/>
      <c r="Y630" s="17"/>
    </row>
    <row r="631" ht="15.75" customHeight="1">
      <c r="X631" s="16"/>
      <c r="Y631" s="17"/>
    </row>
    <row r="632" ht="15.75" customHeight="1">
      <c r="X632" s="16"/>
      <c r="Y632" s="17"/>
    </row>
    <row r="633" ht="15.75" customHeight="1">
      <c r="X633" s="16"/>
      <c r="Y633" s="17"/>
    </row>
    <row r="634" ht="15.75" customHeight="1">
      <c r="X634" s="16"/>
      <c r="Y634" s="17"/>
    </row>
    <row r="635" ht="15.75" customHeight="1">
      <c r="X635" s="16"/>
      <c r="Y635" s="17"/>
    </row>
    <row r="636" ht="15.75" customHeight="1">
      <c r="X636" s="16"/>
      <c r="Y636" s="17"/>
    </row>
    <row r="637" ht="15.75" customHeight="1">
      <c r="X637" s="16"/>
      <c r="Y637" s="17"/>
    </row>
    <row r="638" ht="15.75" customHeight="1">
      <c r="X638" s="16"/>
      <c r="Y638" s="17"/>
    </row>
    <row r="639" ht="15.75" customHeight="1">
      <c r="X639" s="16"/>
      <c r="Y639" s="17"/>
    </row>
    <row r="640" ht="15.75" customHeight="1">
      <c r="X640" s="16"/>
      <c r="Y640" s="17"/>
    </row>
    <row r="641" ht="15.75" customHeight="1">
      <c r="X641" s="16"/>
      <c r="Y641" s="17"/>
    </row>
    <row r="642" ht="15.75" customHeight="1">
      <c r="X642" s="16"/>
      <c r="Y642" s="17"/>
    </row>
    <row r="643" ht="15.75" customHeight="1">
      <c r="X643" s="16"/>
      <c r="Y643" s="17"/>
    </row>
    <row r="644" ht="15.75" customHeight="1">
      <c r="X644" s="16"/>
      <c r="Y644" s="17"/>
    </row>
    <row r="645" ht="15.75" customHeight="1">
      <c r="X645" s="16"/>
      <c r="Y645" s="17"/>
    </row>
    <row r="646" ht="15.75" customHeight="1">
      <c r="X646" s="16"/>
      <c r="Y646" s="17"/>
    </row>
    <row r="647" ht="15.75" customHeight="1">
      <c r="X647" s="16"/>
      <c r="Y647" s="17"/>
    </row>
    <row r="648" ht="15.75" customHeight="1">
      <c r="X648" s="16"/>
      <c r="Y648" s="17"/>
    </row>
    <row r="649" ht="15.75" customHeight="1">
      <c r="X649" s="16"/>
      <c r="Y649" s="17"/>
    </row>
    <row r="650" ht="15.75" customHeight="1">
      <c r="X650" s="16"/>
      <c r="Y650" s="17"/>
    </row>
    <row r="651" ht="15.75" customHeight="1">
      <c r="X651" s="16"/>
      <c r="Y651" s="17"/>
    </row>
    <row r="652" ht="15.75" customHeight="1">
      <c r="X652" s="16"/>
      <c r="Y652" s="17"/>
    </row>
    <row r="653" ht="15.75" customHeight="1">
      <c r="X653" s="16"/>
      <c r="Y653" s="17"/>
    </row>
    <row r="654" ht="15.75" customHeight="1">
      <c r="X654" s="16"/>
      <c r="Y654" s="17"/>
    </row>
    <row r="655" ht="15.75" customHeight="1">
      <c r="X655" s="16"/>
      <c r="Y655" s="17"/>
    </row>
    <row r="656" ht="15.75" customHeight="1">
      <c r="X656" s="16"/>
      <c r="Y656" s="17"/>
    </row>
    <row r="657" ht="15.75" customHeight="1">
      <c r="X657" s="16"/>
      <c r="Y657" s="17"/>
    </row>
    <row r="658" ht="15.75" customHeight="1">
      <c r="X658" s="16"/>
      <c r="Y658" s="17"/>
    </row>
    <row r="659" ht="15.75" customHeight="1">
      <c r="X659" s="16"/>
      <c r="Y659" s="17"/>
    </row>
    <row r="660" ht="15.75" customHeight="1">
      <c r="X660" s="16"/>
      <c r="Y660" s="17"/>
    </row>
    <row r="661" ht="15.75" customHeight="1">
      <c r="X661" s="16"/>
      <c r="Y661" s="17"/>
    </row>
    <row r="662" ht="15.75" customHeight="1">
      <c r="X662" s="16"/>
      <c r="Y662" s="17"/>
    </row>
    <row r="663" ht="15.75" customHeight="1">
      <c r="X663" s="16"/>
      <c r="Y663" s="17"/>
    </row>
    <row r="664" ht="15.75" customHeight="1">
      <c r="X664" s="16"/>
      <c r="Y664" s="17"/>
    </row>
    <row r="665" ht="15.75" customHeight="1">
      <c r="X665" s="16"/>
      <c r="Y665" s="17"/>
    </row>
    <row r="666" ht="15.75" customHeight="1">
      <c r="X666" s="16"/>
      <c r="Y666" s="17"/>
    </row>
    <row r="667" ht="15.75" customHeight="1">
      <c r="X667" s="16"/>
      <c r="Y667" s="17"/>
    </row>
    <row r="668" ht="15.75" customHeight="1">
      <c r="X668" s="16"/>
      <c r="Y668" s="17"/>
    </row>
    <row r="669" ht="15.75" customHeight="1">
      <c r="X669" s="16"/>
      <c r="Y669" s="17"/>
    </row>
    <row r="670" ht="15.75" customHeight="1">
      <c r="X670" s="16"/>
      <c r="Y670" s="17"/>
    </row>
    <row r="671" ht="15.75" customHeight="1">
      <c r="X671" s="16"/>
      <c r="Y671" s="17"/>
    </row>
    <row r="672" ht="15.75" customHeight="1">
      <c r="X672" s="16"/>
      <c r="Y672" s="17"/>
    </row>
    <row r="673" ht="15.75" customHeight="1">
      <c r="X673" s="16"/>
      <c r="Y673" s="17"/>
    </row>
    <row r="674" ht="15.75" customHeight="1">
      <c r="X674" s="16"/>
      <c r="Y674" s="17"/>
    </row>
    <row r="675" ht="15.75" customHeight="1">
      <c r="X675" s="16"/>
      <c r="Y675" s="17"/>
    </row>
    <row r="676" ht="15.75" customHeight="1">
      <c r="X676" s="16"/>
      <c r="Y676" s="17"/>
    </row>
    <row r="677" ht="15.75" customHeight="1">
      <c r="X677" s="16"/>
      <c r="Y677" s="17"/>
    </row>
    <row r="678" ht="15.75" customHeight="1">
      <c r="X678" s="16"/>
      <c r="Y678" s="17"/>
    </row>
    <row r="679" ht="15.75" customHeight="1">
      <c r="X679" s="16"/>
      <c r="Y679" s="17"/>
    </row>
    <row r="680" ht="15.75" customHeight="1">
      <c r="X680" s="16"/>
      <c r="Y680" s="17"/>
    </row>
    <row r="681" ht="15.75" customHeight="1">
      <c r="X681" s="16"/>
      <c r="Y681" s="17"/>
    </row>
    <row r="682" ht="15.75" customHeight="1">
      <c r="X682" s="16"/>
      <c r="Y682" s="17"/>
    </row>
    <row r="683" ht="15.75" customHeight="1">
      <c r="X683" s="16"/>
      <c r="Y683" s="17"/>
    </row>
    <row r="684" ht="15.75" customHeight="1">
      <c r="X684" s="16"/>
      <c r="Y684" s="17"/>
    </row>
    <row r="685" ht="15.75" customHeight="1">
      <c r="X685" s="16"/>
      <c r="Y685" s="17"/>
    </row>
    <row r="686" ht="15.75" customHeight="1">
      <c r="X686" s="16"/>
      <c r="Y686" s="17"/>
    </row>
    <row r="687" ht="15.75" customHeight="1">
      <c r="X687" s="16"/>
      <c r="Y687" s="17"/>
    </row>
    <row r="688" ht="15.75" customHeight="1">
      <c r="X688" s="16"/>
      <c r="Y688" s="17"/>
    </row>
    <row r="689" ht="15.75" customHeight="1">
      <c r="X689" s="16"/>
      <c r="Y689" s="17"/>
    </row>
    <row r="690" ht="15.75" customHeight="1">
      <c r="X690" s="16"/>
      <c r="Y690" s="17"/>
    </row>
    <row r="691" ht="15.75" customHeight="1">
      <c r="X691" s="16"/>
      <c r="Y691" s="17"/>
    </row>
    <row r="692" ht="15.75" customHeight="1">
      <c r="X692" s="16"/>
      <c r="Y692" s="17"/>
    </row>
    <row r="693" ht="15.75" customHeight="1">
      <c r="X693" s="16"/>
      <c r="Y693" s="17"/>
    </row>
    <row r="694" ht="15.75" customHeight="1">
      <c r="X694" s="16"/>
      <c r="Y694" s="17"/>
    </row>
    <row r="695" ht="15.75" customHeight="1">
      <c r="X695" s="16"/>
      <c r="Y695" s="17"/>
    </row>
    <row r="696" ht="15.75" customHeight="1">
      <c r="X696" s="16"/>
      <c r="Y696" s="17"/>
    </row>
    <row r="697" ht="15.75" customHeight="1">
      <c r="X697" s="16"/>
      <c r="Y697" s="17"/>
    </row>
    <row r="698" ht="15.75" customHeight="1">
      <c r="X698" s="16"/>
      <c r="Y698" s="17"/>
    </row>
    <row r="699" ht="15.75" customHeight="1">
      <c r="X699" s="16"/>
      <c r="Y699" s="17"/>
    </row>
    <row r="700" ht="15.75" customHeight="1">
      <c r="X700" s="16"/>
      <c r="Y700" s="17"/>
    </row>
    <row r="701" ht="15.75" customHeight="1">
      <c r="X701" s="16"/>
      <c r="Y701" s="17"/>
    </row>
    <row r="702" ht="15.75" customHeight="1">
      <c r="X702" s="16"/>
      <c r="Y702" s="17"/>
    </row>
    <row r="703" ht="15.75" customHeight="1">
      <c r="X703" s="16"/>
      <c r="Y703" s="17"/>
    </row>
    <row r="704" ht="15.75" customHeight="1">
      <c r="X704" s="16"/>
      <c r="Y704" s="17"/>
    </row>
    <row r="705" ht="15.75" customHeight="1">
      <c r="X705" s="16"/>
      <c r="Y705" s="17"/>
    </row>
    <row r="706" ht="15.75" customHeight="1">
      <c r="X706" s="16"/>
      <c r="Y706" s="17"/>
    </row>
    <row r="707" ht="15.75" customHeight="1">
      <c r="X707" s="16"/>
      <c r="Y707" s="17"/>
    </row>
    <row r="708" ht="15.75" customHeight="1">
      <c r="X708" s="16"/>
      <c r="Y708" s="17"/>
    </row>
    <row r="709" ht="15.75" customHeight="1">
      <c r="X709" s="16"/>
      <c r="Y709" s="17"/>
    </row>
    <row r="710" ht="15.75" customHeight="1">
      <c r="X710" s="16"/>
      <c r="Y710" s="17"/>
    </row>
    <row r="711" ht="15.75" customHeight="1">
      <c r="X711" s="16"/>
      <c r="Y711" s="17"/>
    </row>
    <row r="712" ht="15.75" customHeight="1">
      <c r="X712" s="16"/>
      <c r="Y712" s="17"/>
    </row>
    <row r="713" ht="15.75" customHeight="1">
      <c r="X713" s="16"/>
      <c r="Y713" s="17"/>
    </row>
    <row r="714" ht="15.75" customHeight="1">
      <c r="X714" s="16"/>
      <c r="Y714" s="17"/>
    </row>
    <row r="715" ht="15.75" customHeight="1">
      <c r="X715" s="16"/>
      <c r="Y715" s="17"/>
    </row>
    <row r="716" ht="15.75" customHeight="1">
      <c r="X716" s="16"/>
      <c r="Y716" s="17"/>
    </row>
    <row r="717" ht="15.75" customHeight="1">
      <c r="X717" s="16"/>
      <c r="Y717" s="17"/>
    </row>
    <row r="718" ht="15.75" customHeight="1">
      <c r="X718" s="16"/>
      <c r="Y718" s="17"/>
    </row>
    <row r="719" ht="15.75" customHeight="1">
      <c r="X719" s="16"/>
      <c r="Y719" s="17"/>
    </row>
    <row r="720" ht="15.75" customHeight="1">
      <c r="X720" s="16"/>
      <c r="Y720" s="17"/>
    </row>
    <row r="721" ht="15.75" customHeight="1">
      <c r="X721" s="16"/>
      <c r="Y721" s="17"/>
    </row>
    <row r="722" ht="15.75" customHeight="1">
      <c r="X722" s="16"/>
      <c r="Y722" s="17"/>
    </row>
    <row r="723" ht="15.75" customHeight="1">
      <c r="X723" s="16"/>
      <c r="Y723" s="17"/>
    </row>
    <row r="724" ht="15.75" customHeight="1">
      <c r="X724" s="16"/>
      <c r="Y724" s="17"/>
    </row>
    <row r="725" ht="15.75" customHeight="1">
      <c r="X725" s="16"/>
      <c r="Y725" s="17"/>
    </row>
    <row r="726" ht="15.75" customHeight="1">
      <c r="X726" s="16"/>
      <c r="Y726" s="17"/>
    </row>
    <row r="727" ht="15.75" customHeight="1">
      <c r="X727" s="16"/>
      <c r="Y727" s="17"/>
    </row>
    <row r="728" ht="15.75" customHeight="1">
      <c r="X728" s="16"/>
      <c r="Y728" s="17"/>
    </row>
    <row r="729" ht="15.75" customHeight="1">
      <c r="X729" s="16"/>
      <c r="Y729" s="17"/>
    </row>
    <row r="730" ht="15.75" customHeight="1">
      <c r="X730" s="16"/>
      <c r="Y730" s="17"/>
    </row>
    <row r="731" ht="15.75" customHeight="1">
      <c r="X731" s="16"/>
      <c r="Y731" s="17"/>
    </row>
    <row r="732" ht="15.75" customHeight="1">
      <c r="X732" s="16"/>
      <c r="Y732" s="17"/>
    </row>
    <row r="733" ht="15.75" customHeight="1">
      <c r="X733" s="16"/>
      <c r="Y733" s="17"/>
    </row>
    <row r="734" ht="15.75" customHeight="1">
      <c r="X734" s="16"/>
      <c r="Y734" s="17"/>
    </row>
    <row r="735" ht="15.75" customHeight="1">
      <c r="X735" s="16"/>
      <c r="Y735" s="17"/>
    </row>
    <row r="736" ht="15.75" customHeight="1">
      <c r="X736" s="16"/>
      <c r="Y736" s="17"/>
    </row>
    <row r="737" ht="15.75" customHeight="1">
      <c r="X737" s="16"/>
      <c r="Y737" s="17"/>
    </row>
    <row r="738" ht="15.75" customHeight="1">
      <c r="X738" s="16"/>
      <c r="Y738" s="17"/>
    </row>
    <row r="739" ht="15.75" customHeight="1">
      <c r="X739" s="16"/>
      <c r="Y739" s="17"/>
    </row>
    <row r="740" ht="15.75" customHeight="1">
      <c r="X740" s="16"/>
      <c r="Y740" s="17"/>
    </row>
    <row r="741" ht="15.75" customHeight="1">
      <c r="X741" s="16"/>
      <c r="Y741" s="17"/>
    </row>
    <row r="742" ht="15.75" customHeight="1">
      <c r="X742" s="16"/>
      <c r="Y742" s="17"/>
    </row>
    <row r="743" ht="15.75" customHeight="1">
      <c r="X743" s="16"/>
      <c r="Y743" s="17"/>
    </row>
    <row r="744" ht="15.75" customHeight="1">
      <c r="X744" s="16"/>
      <c r="Y744" s="17"/>
    </row>
    <row r="745" ht="15.75" customHeight="1">
      <c r="X745" s="16"/>
      <c r="Y745" s="17"/>
    </row>
    <row r="746" ht="15.75" customHeight="1">
      <c r="X746" s="16"/>
      <c r="Y746" s="17"/>
    </row>
    <row r="747" ht="15.75" customHeight="1">
      <c r="X747" s="16"/>
      <c r="Y747" s="17"/>
    </row>
    <row r="748" ht="15.75" customHeight="1">
      <c r="X748" s="16"/>
      <c r="Y748" s="17"/>
    </row>
    <row r="749" ht="15.75" customHeight="1">
      <c r="X749" s="16"/>
      <c r="Y749" s="17"/>
    </row>
    <row r="750" ht="15.75" customHeight="1">
      <c r="X750" s="16"/>
      <c r="Y750" s="17"/>
    </row>
    <row r="751" ht="15.75" customHeight="1">
      <c r="X751" s="16"/>
      <c r="Y751" s="17"/>
    </row>
    <row r="752" ht="15.75" customHeight="1">
      <c r="X752" s="16"/>
      <c r="Y752" s="17"/>
    </row>
    <row r="753" ht="15.75" customHeight="1">
      <c r="X753" s="16"/>
      <c r="Y753" s="17"/>
    </row>
    <row r="754" ht="15.75" customHeight="1">
      <c r="X754" s="16"/>
      <c r="Y754" s="17"/>
    </row>
    <row r="755" ht="15.75" customHeight="1">
      <c r="X755" s="16"/>
      <c r="Y755" s="17"/>
    </row>
    <row r="756" ht="15.75" customHeight="1">
      <c r="X756" s="16"/>
      <c r="Y756" s="17"/>
    </row>
    <row r="757" ht="15.75" customHeight="1">
      <c r="X757" s="16"/>
      <c r="Y757" s="17"/>
    </row>
    <row r="758" ht="15.75" customHeight="1">
      <c r="X758" s="16"/>
      <c r="Y758" s="17"/>
    </row>
    <row r="759" ht="15.75" customHeight="1">
      <c r="X759" s="16"/>
      <c r="Y759" s="17"/>
    </row>
    <row r="760" ht="15.75" customHeight="1">
      <c r="X760" s="16"/>
      <c r="Y760" s="17"/>
    </row>
    <row r="761" ht="15.75" customHeight="1">
      <c r="X761" s="16"/>
      <c r="Y761" s="17"/>
    </row>
    <row r="762" ht="15.75" customHeight="1">
      <c r="X762" s="16"/>
      <c r="Y762" s="17"/>
    </row>
    <row r="763" ht="15.75" customHeight="1">
      <c r="X763" s="16"/>
      <c r="Y763" s="17"/>
    </row>
    <row r="764" ht="15.75" customHeight="1">
      <c r="X764" s="16"/>
      <c r="Y764" s="17"/>
    </row>
    <row r="765" ht="15.75" customHeight="1">
      <c r="X765" s="16"/>
      <c r="Y765" s="17"/>
    </row>
    <row r="766" ht="15.75" customHeight="1">
      <c r="X766" s="16"/>
      <c r="Y766" s="17"/>
    </row>
    <row r="767" ht="15.75" customHeight="1">
      <c r="X767" s="16"/>
      <c r="Y767" s="17"/>
    </row>
    <row r="768" ht="15.75" customHeight="1">
      <c r="X768" s="16"/>
      <c r="Y768" s="17"/>
    </row>
    <row r="769" ht="15.75" customHeight="1">
      <c r="X769" s="16"/>
      <c r="Y769" s="17"/>
    </row>
    <row r="770" ht="15.75" customHeight="1">
      <c r="X770" s="16"/>
      <c r="Y770" s="17"/>
    </row>
    <row r="771" ht="15.75" customHeight="1">
      <c r="X771" s="16"/>
      <c r="Y771" s="17"/>
    </row>
    <row r="772" ht="15.75" customHeight="1">
      <c r="X772" s="16"/>
      <c r="Y772" s="17"/>
    </row>
    <row r="773" ht="15.75" customHeight="1">
      <c r="X773" s="16"/>
      <c r="Y773" s="17"/>
    </row>
    <row r="774" ht="15.75" customHeight="1">
      <c r="X774" s="16"/>
      <c r="Y774" s="17"/>
    </row>
    <row r="775" ht="15.75" customHeight="1">
      <c r="X775" s="16"/>
      <c r="Y775" s="17"/>
    </row>
    <row r="776" ht="15.75" customHeight="1">
      <c r="X776" s="16"/>
      <c r="Y776" s="17"/>
    </row>
    <row r="777" ht="15.75" customHeight="1">
      <c r="X777" s="16"/>
      <c r="Y777" s="17"/>
    </row>
    <row r="778" ht="15.75" customHeight="1">
      <c r="X778" s="16"/>
      <c r="Y778" s="17"/>
    </row>
    <row r="779" ht="15.75" customHeight="1">
      <c r="X779" s="16"/>
      <c r="Y779" s="17"/>
    </row>
    <row r="780" ht="15.75" customHeight="1">
      <c r="X780" s="16"/>
      <c r="Y780" s="17"/>
    </row>
    <row r="781" ht="15.75" customHeight="1">
      <c r="X781" s="16"/>
      <c r="Y781" s="17"/>
    </row>
    <row r="782" ht="15.75" customHeight="1">
      <c r="X782" s="16"/>
      <c r="Y782" s="17"/>
    </row>
    <row r="783" ht="15.75" customHeight="1">
      <c r="X783" s="16"/>
      <c r="Y783" s="17"/>
    </row>
    <row r="784" ht="15.75" customHeight="1">
      <c r="X784" s="16"/>
      <c r="Y784" s="17"/>
    </row>
    <row r="785" ht="15.75" customHeight="1">
      <c r="X785" s="16"/>
      <c r="Y785" s="17"/>
    </row>
    <row r="786" ht="15.75" customHeight="1">
      <c r="X786" s="16"/>
      <c r="Y786" s="17"/>
    </row>
    <row r="787" ht="15.75" customHeight="1">
      <c r="X787" s="16"/>
      <c r="Y787" s="17"/>
    </row>
    <row r="788" ht="15.75" customHeight="1">
      <c r="X788" s="16"/>
      <c r="Y788" s="17"/>
    </row>
    <row r="789" ht="15.75" customHeight="1">
      <c r="X789" s="16"/>
      <c r="Y789" s="17"/>
    </row>
    <row r="790" ht="15.75" customHeight="1">
      <c r="X790" s="16"/>
      <c r="Y790" s="17"/>
    </row>
    <row r="791" ht="15.75" customHeight="1">
      <c r="X791" s="16"/>
      <c r="Y791" s="17"/>
    </row>
    <row r="792" ht="15.75" customHeight="1">
      <c r="X792" s="16"/>
      <c r="Y792" s="17"/>
    </row>
    <row r="793" ht="15.75" customHeight="1">
      <c r="X793" s="16"/>
      <c r="Y793" s="17"/>
    </row>
    <row r="794" ht="15.75" customHeight="1">
      <c r="X794" s="16"/>
      <c r="Y794" s="17"/>
    </row>
    <row r="795" ht="15.75" customHeight="1">
      <c r="X795" s="16"/>
      <c r="Y795" s="17"/>
    </row>
    <row r="796" ht="15.75" customHeight="1">
      <c r="X796" s="16"/>
      <c r="Y796" s="17"/>
    </row>
    <row r="797" ht="15.75" customHeight="1">
      <c r="X797" s="16"/>
      <c r="Y797" s="17"/>
    </row>
    <row r="798" ht="15.75" customHeight="1">
      <c r="X798" s="16"/>
      <c r="Y798" s="17"/>
    </row>
    <row r="799" ht="15.75" customHeight="1">
      <c r="X799" s="16"/>
      <c r="Y799" s="17"/>
    </row>
    <row r="800" ht="15.75" customHeight="1">
      <c r="X800" s="16"/>
      <c r="Y800" s="17"/>
    </row>
    <row r="801" ht="15.75" customHeight="1">
      <c r="X801" s="16"/>
      <c r="Y801" s="17"/>
    </row>
    <row r="802" ht="15.75" customHeight="1">
      <c r="X802" s="16"/>
      <c r="Y802" s="17"/>
    </row>
    <row r="803" ht="15.75" customHeight="1">
      <c r="X803" s="16"/>
      <c r="Y803" s="17"/>
    </row>
    <row r="804" ht="15.75" customHeight="1">
      <c r="X804" s="16"/>
      <c r="Y804" s="17"/>
    </row>
    <row r="805" ht="15.75" customHeight="1">
      <c r="X805" s="16"/>
      <c r="Y805" s="17"/>
    </row>
    <row r="806" ht="15.75" customHeight="1">
      <c r="X806" s="16"/>
      <c r="Y806" s="17"/>
    </row>
    <row r="807" ht="15.75" customHeight="1">
      <c r="X807" s="16"/>
      <c r="Y807" s="17"/>
    </row>
    <row r="808" ht="15.75" customHeight="1">
      <c r="X808" s="16"/>
      <c r="Y808" s="17"/>
    </row>
    <row r="809" ht="15.75" customHeight="1">
      <c r="X809" s="16"/>
      <c r="Y809" s="17"/>
    </row>
    <row r="810" ht="15.75" customHeight="1">
      <c r="X810" s="16"/>
      <c r="Y810" s="17"/>
    </row>
    <row r="811" ht="15.75" customHeight="1">
      <c r="X811" s="16"/>
      <c r="Y811" s="17"/>
    </row>
    <row r="812" ht="15.75" customHeight="1">
      <c r="X812" s="16"/>
      <c r="Y812" s="17"/>
    </row>
    <row r="813" ht="15.75" customHeight="1">
      <c r="X813" s="16"/>
      <c r="Y813" s="17"/>
    </row>
    <row r="814" ht="15.75" customHeight="1">
      <c r="X814" s="16"/>
      <c r="Y814" s="17"/>
    </row>
    <row r="815" ht="15.75" customHeight="1">
      <c r="X815" s="16"/>
      <c r="Y815" s="17"/>
    </row>
    <row r="816" ht="15.75" customHeight="1">
      <c r="X816" s="16"/>
      <c r="Y816" s="17"/>
    </row>
    <row r="817" ht="15.75" customHeight="1">
      <c r="X817" s="16"/>
      <c r="Y817" s="17"/>
    </row>
    <row r="818" ht="15.75" customHeight="1">
      <c r="X818" s="16"/>
      <c r="Y818" s="17"/>
    </row>
    <row r="819" ht="15.75" customHeight="1">
      <c r="X819" s="16"/>
      <c r="Y819" s="17"/>
    </row>
    <row r="820" ht="15.75" customHeight="1">
      <c r="X820" s="16"/>
      <c r="Y820" s="17"/>
    </row>
    <row r="821" ht="15.75" customHeight="1">
      <c r="X821" s="16"/>
      <c r="Y821" s="17"/>
    </row>
    <row r="822" ht="15.75" customHeight="1">
      <c r="X822" s="16"/>
      <c r="Y822" s="17"/>
    </row>
    <row r="823" ht="15.75" customHeight="1">
      <c r="X823" s="16"/>
      <c r="Y823" s="17"/>
    </row>
    <row r="824" ht="15.75" customHeight="1">
      <c r="X824" s="16"/>
      <c r="Y824" s="17"/>
    </row>
    <row r="825" ht="15.75" customHeight="1">
      <c r="X825" s="16"/>
      <c r="Y825" s="17"/>
    </row>
    <row r="826" ht="15.75" customHeight="1">
      <c r="X826" s="16"/>
      <c r="Y826" s="17"/>
    </row>
    <row r="827" ht="15.75" customHeight="1">
      <c r="X827" s="16"/>
      <c r="Y827" s="17"/>
    </row>
    <row r="828" ht="15.75" customHeight="1">
      <c r="X828" s="16"/>
      <c r="Y828" s="17"/>
    </row>
    <row r="829" ht="15.75" customHeight="1">
      <c r="X829" s="16"/>
      <c r="Y829" s="17"/>
    </row>
    <row r="830" ht="15.75" customHeight="1">
      <c r="X830" s="16"/>
      <c r="Y830" s="17"/>
    </row>
    <row r="831" ht="15.75" customHeight="1">
      <c r="X831" s="16"/>
      <c r="Y831" s="17"/>
    </row>
    <row r="832" ht="15.75" customHeight="1">
      <c r="X832" s="16"/>
      <c r="Y832" s="17"/>
    </row>
    <row r="833" ht="15.75" customHeight="1">
      <c r="X833" s="16"/>
      <c r="Y833" s="17"/>
    </row>
    <row r="834" ht="15.75" customHeight="1">
      <c r="X834" s="16"/>
      <c r="Y834" s="17"/>
    </row>
    <row r="835" ht="15.75" customHeight="1">
      <c r="X835" s="16"/>
      <c r="Y835" s="17"/>
    </row>
    <row r="836" ht="15.75" customHeight="1">
      <c r="X836" s="16"/>
      <c r="Y836" s="17"/>
    </row>
    <row r="837" ht="15.75" customHeight="1">
      <c r="X837" s="16"/>
      <c r="Y837" s="17"/>
    </row>
    <row r="838" ht="15.75" customHeight="1">
      <c r="X838" s="16"/>
      <c r="Y838" s="17"/>
    </row>
    <row r="839" ht="15.75" customHeight="1">
      <c r="X839" s="16"/>
      <c r="Y839" s="17"/>
    </row>
    <row r="840" ht="15.75" customHeight="1">
      <c r="X840" s="16"/>
      <c r="Y840" s="17"/>
    </row>
    <row r="841" ht="15.75" customHeight="1">
      <c r="X841" s="16"/>
      <c r="Y841" s="17"/>
    </row>
    <row r="842" ht="15.75" customHeight="1">
      <c r="X842" s="16"/>
      <c r="Y842" s="17"/>
    </row>
    <row r="843" ht="15.75" customHeight="1">
      <c r="X843" s="16"/>
      <c r="Y843" s="17"/>
    </row>
    <row r="844" ht="15.75" customHeight="1">
      <c r="X844" s="16"/>
      <c r="Y844" s="17"/>
    </row>
    <row r="845" ht="15.75" customHeight="1">
      <c r="X845" s="16"/>
      <c r="Y845" s="17"/>
    </row>
    <row r="846" ht="15.75" customHeight="1">
      <c r="X846" s="16"/>
      <c r="Y846" s="17"/>
    </row>
    <row r="847" ht="15.75" customHeight="1">
      <c r="X847" s="16"/>
      <c r="Y847" s="17"/>
    </row>
    <row r="848" ht="15.75" customHeight="1">
      <c r="X848" s="16"/>
      <c r="Y848" s="17"/>
    </row>
    <row r="849" ht="15.75" customHeight="1">
      <c r="X849" s="16"/>
      <c r="Y849" s="17"/>
    </row>
    <row r="850" ht="15.75" customHeight="1">
      <c r="X850" s="16"/>
      <c r="Y850" s="17"/>
    </row>
    <row r="851" ht="15.75" customHeight="1">
      <c r="X851" s="16"/>
      <c r="Y851" s="17"/>
    </row>
    <row r="852" ht="15.75" customHeight="1">
      <c r="X852" s="16"/>
      <c r="Y852" s="17"/>
    </row>
    <row r="853" ht="15.75" customHeight="1">
      <c r="X853" s="16"/>
      <c r="Y853" s="17"/>
    </row>
    <row r="854" ht="15.75" customHeight="1">
      <c r="X854" s="16"/>
      <c r="Y854" s="17"/>
    </row>
    <row r="855" ht="15.75" customHeight="1">
      <c r="X855" s="16"/>
      <c r="Y855" s="17"/>
    </row>
    <row r="856" ht="15.75" customHeight="1">
      <c r="X856" s="16"/>
      <c r="Y856" s="17"/>
    </row>
    <row r="857" ht="15.75" customHeight="1">
      <c r="X857" s="16"/>
      <c r="Y857" s="17"/>
    </row>
    <row r="858" ht="15.75" customHeight="1">
      <c r="X858" s="16"/>
      <c r="Y858" s="17"/>
    </row>
    <row r="859" ht="15.75" customHeight="1">
      <c r="X859" s="16"/>
      <c r="Y859" s="17"/>
    </row>
    <row r="860" ht="15.75" customHeight="1">
      <c r="X860" s="16"/>
      <c r="Y860" s="17"/>
    </row>
    <row r="861" ht="15.75" customHeight="1">
      <c r="X861" s="16"/>
      <c r="Y861" s="17"/>
    </row>
    <row r="862" ht="15.75" customHeight="1">
      <c r="X862" s="16"/>
      <c r="Y862" s="17"/>
    </row>
    <row r="863" ht="15.75" customHeight="1">
      <c r="X863" s="16"/>
      <c r="Y863" s="17"/>
    </row>
    <row r="864" ht="15.75" customHeight="1">
      <c r="X864" s="16"/>
      <c r="Y864" s="17"/>
    </row>
    <row r="865" ht="15.75" customHeight="1">
      <c r="X865" s="16"/>
      <c r="Y865" s="17"/>
    </row>
    <row r="866" ht="15.75" customHeight="1">
      <c r="X866" s="16"/>
      <c r="Y866" s="17"/>
    </row>
    <row r="867" ht="15.75" customHeight="1">
      <c r="X867" s="16"/>
      <c r="Y867" s="17"/>
    </row>
    <row r="868" ht="15.75" customHeight="1">
      <c r="X868" s="16"/>
      <c r="Y868" s="17"/>
    </row>
    <row r="869" ht="15.75" customHeight="1">
      <c r="X869" s="16"/>
      <c r="Y869" s="17"/>
    </row>
    <row r="870" ht="15.75" customHeight="1">
      <c r="X870" s="16"/>
      <c r="Y870" s="17"/>
    </row>
    <row r="871" ht="15.75" customHeight="1">
      <c r="X871" s="16"/>
      <c r="Y871" s="17"/>
    </row>
    <row r="872" ht="15.75" customHeight="1">
      <c r="X872" s="16"/>
      <c r="Y872" s="17"/>
    </row>
    <row r="873" ht="15.75" customHeight="1">
      <c r="X873" s="16"/>
      <c r="Y873" s="17"/>
    </row>
    <row r="874" ht="15.75" customHeight="1">
      <c r="X874" s="16"/>
      <c r="Y874" s="17"/>
    </row>
    <row r="875" ht="15.75" customHeight="1">
      <c r="X875" s="16"/>
      <c r="Y875" s="17"/>
    </row>
    <row r="876" ht="15.75" customHeight="1">
      <c r="X876" s="16"/>
      <c r="Y876" s="17"/>
    </row>
    <row r="877" ht="15.75" customHeight="1">
      <c r="X877" s="16"/>
      <c r="Y877" s="17"/>
    </row>
    <row r="878" ht="15.75" customHeight="1">
      <c r="X878" s="16"/>
      <c r="Y878" s="17"/>
    </row>
    <row r="879" ht="15.75" customHeight="1">
      <c r="X879" s="16"/>
      <c r="Y879" s="17"/>
    </row>
    <row r="880" ht="15.75" customHeight="1">
      <c r="X880" s="16"/>
      <c r="Y880" s="17"/>
    </row>
    <row r="881" ht="15.75" customHeight="1">
      <c r="X881" s="16"/>
      <c r="Y881" s="17"/>
    </row>
    <row r="882" ht="15.75" customHeight="1">
      <c r="X882" s="16"/>
      <c r="Y882" s="17"/>
    </row>
    <row r="883" ht="15.75" customHeight="1">
      <c r="X883" s="16"/>
      <c r="Y883" s="17"/>
    </row>
    <row r="884" ht="15.75" customHeight="1">
      <c r="X884" s="16"/>
      <c r="Y884" s="17"/>
    </row>
    <row r="885" ht="15.75" customHeight="1">
      <c r="X885" s="16"/>
      <c r="Y885" s="17"/>
    </row>
    <row r="886" ht="15.75" customHeight="1">
      <c r="X886" s="16"/>
      <c r="Y886" s="17"/>
    </row>
    <row r="887" ht="15.75" customHeight="1">
      <c r="X887" s="16"/>
      <c r="Y887" s="17"/>
    </row>
    <row r="888" ht="15.75" customHeight="1">
      <c r="X888" s="16"/>
      <c r="Y888" s="17"/>
    </row>
    <row r="889" ht="15.75" customHeight="1">
      <c r="X889" s="16"/>
      <c r="Y889" s="17"/>
    </row>
    <row r="890" ht="15.75" customHeight="1">
      <c r="X890" s="16"/>
      <c r="Y890" s="17"/>
    </row>
    <row r="891" ht="15.75" customHeight="1">
      <c r="X891" s="16"/>
      <c r="Y891" s="17"/>
    </row>
    <row r="892" ht="15.75" customHeight="1">
      <c r="X892" s="16"/>
      <c r="Y892" s="17"/>
    </row>
    <row r="893" ht="15.75" customHeight="1">
      <c r="X893" s="16"/>
      <c r="Y893" s="17"/>
    </row>
    <row r="894" ht="15.75" customHeight="1">
      <c r="X894" s="16"/>
      <c r="Y894" s="17"/>
    </row>
    <row r="895" ht="15.75" customHeight="1">
      <c r="X895" s="16"/>
      <c r="Y895" s="17"/>
    </row>
    <row r="896" ht="15.75" customHeight="1">
      <c r="X896" s="16"/>
      <c r="Y896" s="17"/>
    </row>
    <row r="897" ht="15.75" customHeight="1">
      <c r="X897" s="16"/>
      <c r="Y897" s="17"/>
    </row>
    <row r="898" ht="15.75" customHeight="1">
      <c r="X898" s="16"/>
      <c r="Y898" s="17"/>
    </row>
    <row r="899" ht="15.75" customHeight="1">
      <c r="X899" s="16"/>
      <c r="Y899" s="17"/>
    </row>
    <row r="900" ht="15.75" customHeight="1">
      <c r="X900" s="16"/>
      <c r="Y900" s="17"/>
    </row>
    <row r="901" ht="15.75" customHeight="1">
      <c r="X901" s="16"/>
      <c r="Y901" s="17"/>
    </row>
    <row r="902" ht="15.75" customHeight="1">
      <c r="X902" s="16"/>
      <c r="Y902" s="17"/>
    </row>
    <row r="903" ht="15.75" customHeight="1">
      <c r="X903" s="16"/>
      <c r="Y903" s="17"/>
    </row>
    <row r="904" ht="15.75" customHeight="1">
      <c r="X904" s="16"/>
      <c r="Y904" s="17"/>
    </row>
    <row r="905" ht="15.75" customHeight="1">
      <c r="X905" s="16"/>
      <c r="Y905" s="17"/>
    </row>
    <row r="906" ht="15.75" customHeight="1">
      <c r="X906" s="16"/>
      <c r="Y906" s="17"/>
    </row>
    <row r="907" ht="15.75" customHeight="1">
      <c r="X907" s="16"/>
      <c r="Y907" s="17"/>
    </row>
    <row r="908" ht="15.75" customHeight="1">
      <c r="X908" s="16"/>
      <c r="Y908" s="17"/>
    </row>
    <row r="909" ht="15.75" customHeight="1">
      <c r="X909" s="16"/>
      <c r="Y909" s="17"/>
    </row>
    <row r="910" ht="15.75" customHeight="1">
      <c r="X910" s="16"/>
      <c r="Y910" s="17"/>
    </row>
    <row r="911" ht="15.75" customHeight="1">
      <c r="X911" s="16"/>
      <c r="Y911" s="17"/>
    </row>
    <row r="912" ht="15.75" customHeight="1">
      <c r="X912" s="16"/>
      <c r="Y912" s="17"/>
    </row>
    <row r="913" ht="15.75" customHeight="1">
      <c r="X913" s="16"/>
      <c r="Y913" s="17"/>
    </row>
    <row r="914" ht="15.75" customHeight="1">
      <c r="X914" s="16"/>
      <c r="Y914" s="17"/>
    </row>
    <row r="915" ht="15.75" customHeight="1">
      <c r="X915" s="16"/>
      <c r="Y915" s="17"/>
    </row>
    <row r="916" ht="15.75" customHeight="1">
      <c r="X916" s="16"/>
      <c r="Y916" s="17"/>
    </row>
    <row r="917" ht="15.75" customHeight="1">
      <c r="X917" s="16"/>
      <c r="Y917" s="17"/>
    </row>
    <row r="918" ht="15.75" customHeight="1">
      <c r="X918" s="16"/>
      <c r="Y918" s="17"/>
    </row>
    <row r="919" ht="15.75" customHeight="1">
      <c r="X919" s="16"/>
      <c r="Y919" s="17"/>
    </row>
    <row r="920" ht="15.75" customHeight="1">
      <c r="X920" s="16"/>
      <c r="Y920" s="17"/>
    </row>
    <row r="921" ht="15.75" customHeight="1">
      <c r="X921" s="16"/>
      <c r="Y921" s="17"/>
    </row>
    <row r="922" ht="15.75" customHeight="1">
      <c r="X922" s="16"/>
      <c r="Y922" s="17"/>
    </row>
    <row r="923" ht="15.75" customHeight="1">
      <c r="X923" s="16"/>
      <c r="Y923" s="17"/>
    </row>
    <row r="924" ht="15.75" customHeight="1">
      <c r="X924" s="16"/>
      <c r="Y924" s="17"/>
    </row>
    <row r="925" ht="15.75" customHeight="1">
      <c r="X925" s="16"/>
      <c r="Y925" s="17"/>
    </row>
    <row r="926" ht="15.75" customHeight="1">
      <c r="X926" s="16"/>
      <c r="Y926" s="17"/>
    </row>
    <row r="927" ht="15.75" customHeight="1">
      <c r="X927" s="16"/>
      <c r="Y927" s="17"/>
    </row>
    <row r="928" ht="15.75" customHeight="1">
      <c r="X928" s="16"/>
      <c r="Y928" s="17"/>
    </row>
    <row r="929" ht="15.75" customHeight="1">
      <c r="X929" s="16"/>
      <c r="Y929" s="17"/>
    </row>
    <row r="930" ht="15.75" customHeight="1">
      <c r="X930" s="16"/>
      <c r="Y930" s="17"/>
    </row>
    <row r="931" ht="15.75" customHeight="1">
      <c r="X931" s="16"/>
      <c r="Y931" s="17"/>
    </row>
    <row r="932" ht="15.75" customHeight="1">
      <c r="X932" s="16"/>
      <c r="Y932" s="17"/>
    </row>
    <row r="933" ht="15.75" customHeight="1">
      <c r="X933" s="16"/>
      <c r="Y933" s="17"/>
    </row>
    <row r="934" ht="15.75" customHeight="1">
      <c r="X934" s="16"/>
      <c r="Y934" s="17"/>
    </row>
    <row r="935" ht="15.75" customHeight="1">
      <c r="X935" s="16"/>
      <c r="Y935" s="17"/>
    </row>
    <row r="936" ht="15.75" customHeight="1">
      <c r="X936" s="16"/>
      <c r="Y936" s="17"/>
    </row>
    <row r="937" ht="15.75" customHeight="1">
      <c r="X937" s="16"/>
      <c r="Y937" s="17"/>
    </row>
    <row r="938" ht="15.75" customHeight="1">
      <c r="X938" s="16"/>
      <c r="Y938" s="17"/>
    </row>
    <row r="939" ht="15.75" customHeight="1">
      <c r="X939" s="16"/>
      <c r="Y939" s="17"/>
    </row>
    <row r="940" ht="15.75" customHeight="1">
      <c r="X940" s="16"/>
      <c r="Y940" s="17"/>
    </row>
    <row r="941" ht="15.75" customHeight="1">
      <c r="X941" s="16"/>
      <c r="Y941" s="17"/>
    </row>
    <row r="942" ht="15.75" customHeight="1">
      <c r="X942" s="16"/>
      <c r="Y942" s="17"/>
    </row>
    <row r="943" ht="15.75" customHeight="1">
      <c r="X943" s="16"/>
      <c r="Y943" s="17"/>
    </row>
    <row r="944" ht="15.75" customHeight="1">
      <c r="X944" s="16"/>
      <c r="Y944" s="17"/>
    </row>
    <row r="945" ht="15.75" customHeight="1">
      <c r="X945" s="16"/>
      <c r="Y945" s="17"/>
    </row>
    <row r="946" ht="15.75" customHeight="1">
      <c r="X946" s="16"/>
      <c r="Y946" s="17"/>
    </row>
    <row r="947" ht="15.75" customHeight="1">
      <c r="X947" s="16"/>
      <c r="Y947" s="17"/>
    </row>
    <row r="948" ht="15.75" customHeight="1">
      <c r="X948" s="16"/>
      <c r="Y948" s="17"/>
    </row>
    <row r="949" ht="15.75" customHeight="1">
      <c r="X949" s="16"/>
      <c r="Y949" s="17"/>
    </row>
    <row r="950" ht="15.75" customHeight="1">
      <c r="X950" s="16"/>
      <c r="Y950" s="17"/>
    </row>
    <row r="951" ht="15.75" customHeight="1">
      <c r="X951" s="16"/>
      <c r="Y951" s="17"/>
    </row>
    <row r="952" ht="15.75" customHeight="1">
      <c r="X952" s="16"/>
      <c r="Y952" s="17"/>
    </row>
    <row r="953" ht="15.75" customHeight="1">
      <c r="X953" s="16"/>
      <c r="Y953" s="17"/>
    </row>
    <row r="954" ht="15.75" customHeight="1">
      <c r="X954" s="16"/>
      <c r="Y954" s="17"/>
    </row>
    <row r="955" ht="15.75" customHeight="1">
      <c r="X955" s="16"/>
      <c r="Y955" s="17"/>
    </row>
    <row r="956" ht="15.75" customHeight="1">
      <c r="X956" s="16"/>
      <c r="Y956" s="17"/>
    </row>
    <row r="957" ht="15.75" customHeight="1">
      <c r="X957" s="16"/>
      <c r="Y957" s="17"/>
    </row>
    <row r="958" ht="15.75" customHeight="1">
      <c r="X958" s="16"/>
      <c r="Y958" s="17"/>
    </row>
    <row r="959" ht="15.75" customHeight="1">
      <c r="X959" s="16"/>
      <c r="Y959" s="17"/>
    </row>
    <row r="960" ht="15.75" customHeight="1">
      <c r="X960" s="16"/>
      <c r="Y960" s="17"/>
    </row>
    <row r="961" ht="15.75" customHeight="1">
      <c r="X961" s="16"/>
      <c r="Y961" s="17"/>
    </row>
    <row r="962" ht="15.75" customHeight="1">
      <c r="X962" s="16"/>
      <c r="Y962" s="17"/>
    </row>
    <row r="963" ht="15.75" customHeight="1">
      <c r="X963" s="16"/>
      <c r="Y963" s="17"/>
    </row>
    <row r="964" ht="15.75" customHeight="1">
      <c r="X964" s="16"/>
      <c r="Y964" s="17"/>
    </row>
    <row r="965" ht="15.75" customHeight="1">
      <c r="X965" s="16"/>
      <c r="Y965" s="17"/>
    </row>
    <row r="966" ht="15.75" customHeight="1">
      <c r="X966" s="16"/>
      <c r="Y966" s="17"/>
    </row>
    <row r="967" ht="15.75" customHeight="1">
      <c r="X967" s="16"/>
      <c r="Y967" s="17"/>
    </row>
    <row r="968" ht="15.75" customHeight="1">
      <c r="X968" s="16"/>
      <c r="Y968" s="17"/>
    </row>
    <row r="969" ht="15.75" customHeight="1">
      <c r="X969" s="16"/>
      <c r="Y969" s="17"/>
    </row>
    <row r="970" ht="15.75" customHeight="1">
      <c r="X970" s="16"/>
      <c r="Y970" s="17"/>
    </row>
    <row r="971" ht="15.75" customHeight="1">
      <c r="X971" s="16"/>
      <c r="Y971" s="17"/>
    </row>
    <row r="972" ht="15.75" customHeight="1">
      <c r="X972" s="16"/>
      <c r="Y972" s="17"/>
    </row>
    <row r="973" ht="15.75" customHeight="1">
      <c r="X973" s="16"/>
      <c r="Y973" s="17"/>
    </row>
    <row r="974" ht="15.75" customHeight="1">
      <c r="X974" s="16"/>
      <c r="Y974" s="17"/>
    </row>
    <row r="975" ht="15.75" customHeight="1">
      <c r="X975" s="16"/>
      <c r="Y975" s="17"/>
    </row>
    <row r="976" ht="15.75" customHeight="1">
      <c r="X976" s="16"/>
      <c r="Y976" s="17"/>
    </row>
    <row r="977" ht="15.75" customHeight="1">
      <c r="X977" s="16"/>
      <c r="Y977" s="17"/>
    </row>
    <row r="978" ht="15.75" customHeight="1">
      <c r="X978" s="16"/>
      <c r="Y978" s="17"/>
    </row>
    <row r="979" ht="15.75" customHeight="1">
      <c r="X979" s="16"/>
      <c r="Y979" s="17"/>
    </row>
    <row r="980" ht="15.75" customHeight="1">
      <c r="X980" s="16"/>
      <c r="Y980" s="17"/>
    </row>
    <row r="981" ht="15.75" customHeight="1">
      <c r="X981" s="16"/>
      <c r="Y981" s="17"/>
    </row>
    <row r="982" ht="15.75" customHeight="1">
      <c r="X982" s="16"/>
      <c r="Y982" s="17"/>
    </row>
    <row r="983" ht="15.75" customHeight="1">
      <c r="X983" s="16"/>
      <c r="Y983" s="17"/>
    </row>
    <row r="984" ht="15.75" customHeight="1">
      <c r="X984" s="16"/>
      <c r="Y984" s="17"/>
    </row>
    <row r="985" ht="15.75" customHeight="1">
      <c r="X985" s="16"/>
      <c r="Y985" s="17"/>
    </row>
    <row r="986" ht="15.75" customHeight="1">
      <c r="X986" s="16"/>
      <c r="Y986" s="17"/>
    </row>
    <row r="987" ht="15.75" customHeight="1">
      <c r="X987" s="16"/>
      <c r="Y987" s="17"/>
    </row>
    <row r="988" ht="15.75" customHeight="1">
      <c r="X988" s="16"/>
      <c r="Y988" s="17"/>
    </row>
    <row r="989" ht="15.75" customHeight="1">
      <c r="X989" s="16"/>
      <c r="Y989" s="17"/>
    </row>
    <row r="990" ht="15.75" customHeight="1">
      <c r="X990" s="16"/>
      <c r="Y990" s="17"/>
    </row>
    <row r="991" ht="15.75" customHeight="1">
      <c r="X991" s="16"/>
      <c r="Y991" s="17"/>
    </row>
    <row r="992" ht="15.75" customHeight="1">
      <c r="X992" s="16"/>
      <c r="Y992" s="17"/>
    </row>
    <row r="993" ht="15.75" customHeight="1">
      <c r="X993" s="16"/>
      <c r="Y993" s="17"/>
    </row>
    <row r="994" ht="15.75" customHeight="1">
      <c r="X994" s="16"/>
      <c r="Y994" s="17"/>
    </row>
    <row r="995" ht="15.75" customHeight="1">
      <c r="X995" s="16"/>
      <c r="Y995" s="17"/>
    </row>
    <row r="996" ht="15.75" customHeight="1">
      <c r="X996" s="16"/>
      <c r="Y996" s="17"/>
    </row>
    <row r="997" ht="15.75" customHeight="1">
      <c r="X997" s="16"/>
      <c r="Y997" s="17"/>
    </row>
    <row r="998" ht="15.75" customHeight="1">
      <c r="X998" s="16"/>
      <c r="Y998" s="17"/>
    </row>
    <row r="999" ht="15.75" customHeight="1">
      <c r="X999" s="16"/>
      <c r="Y999" s="17"/>
    </row>
    <row r="1000" ht="15.75" customHeight="1">
      <c r="X1000" s="16"/>
      <c r="Y1000" s="17"/>
    </row>
  </sheetData>
  <mergeCells count="2">
    <mergeCell ref="G2:I2"/>
    <mergeCell ref="J2:L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8.71"/>
    <col customWidth="1" min="3" max="3" width="46.86"/>
    <col customWidth="1" min="4" max="26" width="8.71"/>
  </cols>
  <sheetData>
    <row r="1">
      <c r="G1" s="67" t="s">
        <v>44</v>
      </c>
      <c r="J1" s="67" t="s">
        <v>45</v>
      </c>
      <c r="M1" s="67" t="s">
        <v>46</v>
      </c>
      <c r="N1" s="67" t="s">
        <v>46</v>
      </c>
    </row>
    <row r="2">
      <c r="A2" s="67" t="s">
        <v>47</v>
      </c>
      <c r="B2" s="67" t="s">
        <v>48</v>
      </c>
      <c r="C2" s="67" t="s">
        <v>49</v>
      </c>
      <c r="D2" s="67" t="s">
        <v>50</v>
      </c>
      <c r="E2" s="67" t="s">
        <v>51</v>
      </c>
      <c r="F2" s="67" t="s">
        <v>52</v>
      </c>
      <c r="G2" s="67" t="s">
        <v>53</v>
      </c>
      <c r="H2" s="67" t="s">
        <v>54</v>
      </c>
      <c r="I2" s="67" t="s">
        <v>55</v>
      </c>
      <c r="J2" s="67" t="s">
        <v>56</v>
      </c>
      <c r="K2" s="67" t="s">
        <v>57</v>
      </c>
      <c r="L2" s="67" t="s">
        <v>58</v>
      </c>
      <c r="M2" s="67" t="s">
        <v>59</v>
      </c>
      <c r="N2" s="67" t="s">
        <v>60</v>
      </c>
      <c r="O2" s="67" t="s">
        <v>61</v>
      </c>
      <c r="P2" s="67" t="s">
        <v>62</v>
      </c>
      <c r="Q2" s="67" t="s">
        <v>63</v>
      </c>
      <c r="R2" s="67" t="s">
        <v>64</v>
      </c>
      <c r="S2" s="67" t="s">
        <v>65</v>
      </c>
      <c r="T2" s="67" t="s">
        <v>66</v>
      </c>
      <c r="U2" s="67" t="s">
        <v>67</v>
      </c>
      <c r="V2" s="67" t="s">
        <v>68</v>
      </c>
      <c r="W2" s="67" t="s">
        <v>69</v>
      </c>
    </row>
    <row r="3">
      <c r="A3" s="68">
        <v>46168.0</v>
      </c>
      <c r="B3" s="67">
        <v>6.0</v>
      </c>
      <c r="C3" s="67">
        <v>4.901301452412E12</v>
      </c>
      <c r="D3" s="67" t="s">
        <v>70</v>
      </c>
      <c r="F3" s="67">
        <v>8.0</v>
      </c>
      <c r="G3" s="67">
        <v>5176.0</v>
      </c>
      <c r="H3" s="67">
        <v>647.0</v>
      </c>
      <c r="I3" s="67">
        <v>369.0</v>
      </c>
      <c r="J3" s="67">
        <v>3424.0</v>
      </c>
      <c r="K3" s="67">
        <v>428.0</v>
      </c>
      <c r="L3" s="67">
        <v>427.0</v>
      </c>
      <c r="M3" s="67">
        <v>233.0</v>
      </c>
      <c r="N3" s="67">
        <v>195.0</v>
      </c>
      <c r="O3" s="67">
        <v>15.0</v>
      </c>
      <c r="P3" s="67">
        <v>3500992.0</v>
      </c>
      <c r="Q3" s="67">
        <v>0.016367778</v>
      </c>
      <c r="R3" s="67">
        <v>7.6</v>
      </c>
      <c r="S3" s="67">
        <v>8.1</v>
      </c>
      <c r="T3" s="67">
        <v>10.589952366</v>
      </c>
      <c r="U3" s="67">
        <v>4917.2</v>
      </c>
      <c r="V3" s="67">
        <v>5240.7</v>
      </c>
      <c r="W3" s="67">
        <v>3.4025E9</v>
      </c>
      <c r="X3" s="67" t="s">
        <v>71</v>
      </c>
    </row>
    <row r="4">
      <c r="A4" s="68">
        <v>46171.0</v>
      </c>
      <c r="B4" s="67">
        <v>7.0</v>
      </c>
      <c r="C4" s="67">
        <v>4.901301452429E12</v>
      </c>
      <c r="D4" s="67" t="s">
        <v>72</v>
      </c>
      <c r="F4" s="67">
        <v>8.0</v>
      </c>
      <c r="G4" s="67">
        <v>3000.0</v>
      </c>
      <c r="H4" s="67">
        <v>375.0</v>
      </c>
      <c r="I4" s="67">
        <v>348.0</v>
      </c>
      <c r="M4" s="67">
        <v>375.0</v>
      </c>
      <c r="N4" s="67">
        <v>0.0</v>
      </c>
      <c r="O4" s="67">
        <v>15.0</v>
      </c>
      <c r="P4" s="67">
        <v>1089000.0</v>
      </c>
      <c r="Q4" s="67">
        <v>0.018386004</v>
      </c>
      <c r="R4" s="67">
        <v>6.0</v>
      </c>
      <c r="S4" s="67">
        <v>6.6</v>
      </c>
      <c r="T4" s="67">
        <v>6.8947515</v>
      </c>
      <c r="U4" s="67">
        <v>2250.0</v>
      </c>
      <c r="V4" s="67">
        <v>2475.0</v>
      </c>
      <c r="W4" s="67">
        <v>3.4025E9</v>
      </c>
    </row>
    <row r="5">
      <c r="A5" s="68">
        <v>45968.0</v>
      </c>
      <c r="B5" s="67">
        <v>8.0</v>
      </c>
      <c r="C5" s="67">
        <v>4.901301452436E12</v>
      </c>
      <c r="D5" s="67" t="s">
        <v>73</v>
      </c>
      <c r="F5" s="67">
        <v>8.0</v>
      </c>
      <c r="G5" s="67">
        <v>6280.0</v>
      </c>
      <c r="H5" s="67">
        <v>785.0</v>
      </c>
      <c r="I5" s="67">
        <v>369.0</v>
      </c>
      <c r="J5" s="67">
        <v>2320.0</v>
      </c>
      <c r="K5" s="67">
        <v>290.0</v>
      </c>
      <c r="L5" s="67">
        <v>427.0</v>
      </c>
      <c r="M5" s="67">
        <v>238.0</v>
      </c>
      <c r="N5" s="67">
        <v>52.0</v>
      </c>
      <c r="O5" s="67">
        <v>15.0</v>
      </c>
      <c r="P5" s="67">
        <v>3436960.0</v>
      </c>
      <c r="Q5" s="67">
        <v>0.016367778</v>
      </c>
      <c r="R5" s="67">
        <v>7.2</v>
      </c>
      <c r="S5" s="67">
        <v>7.7</v>
      </c>
      <c r="T5" s="67">
        <v>12.84870573</v>
      </c>
      <c r="U5" s="67">
        <v>5652.0</v>
      </c>
      <c r="V5" s="67">
        <v>6044.5</v>
      </c>
      <c r="W5" s="67">
        <v>3.4025E9</v>
      </c>
      <c r="X5" s="67" t="s">
        <v>74</v>
      </c>
    </row>
    <row r="6">
      <c r="A6" s="68">
        <v>46176.0</v>
      </c>
      <c r="B6" s="67">
        <v>9.0</v>
      </c>
      <c r="C6" s="67">
        <v>4.901301453334E12</v>
      </c>
      <c r="D6" s="67" t="s">
        <v>75</v>
      </c>
      <c r="F6" s="67">
        <v>8.0</v>
      </c>
      <c r="G6" s="67">
        <v>2960.0</v>
      </c>
      <c r="H6" s="67">
        <v>370.0</v>
      </c>
      <c r="I6" s="67">
        <v>348.0</v>
      </c>
      <c r="J6" s="67">
        <v>40.0</v>
      </c>
      <c r="K6" s="67">
        <v>5.0</v>
      </c>
      <c r="L6" s="67">
        <v>409.0</v>
      </c>
      <c r="M6" s="67">
        <v>5.0</v>
      </c>
      <c r="N6" s="67">
        <v>0.0</v>
      </c>
      <c r="O6" s="67">
        <v>15.0</v>
      </c>
      <c r="P6" s="67">
        <v>1091440.0</v>
      </c>
      <c r="Q6" s="67">
        <v>0.018386004</v>
      </c>
      <c r="R6" s="67">
        <v>5.68</v>
      </c>
      <c r="S6" s="67">
        <v>6.2</v>
      </c>
      <c r="T6" s="67">
        <v>6.80282148</v>
      </c>
      <c r="U6" s="67">
        <v>2101.6</v>
      </c>
      <c r="V6" s="67">
        <v>2294.0</v>
      </c>
      <c r="W6" s="67">
        <v>3.4025E9</v>
      </c>
      <c r="X6" s="67" t="s">
        <v>76</v>
      </c>
    </row>
    <row r="7">
      <c r="A7" s="68">
        <v>46190.0</v>
      </c>
      <c r="B7" s="67">
        <v>16.0</v>
      </c>
      <c r="C7" s="67" t="s">
        <v>26</v>
      </c>
      <c r="D7" s="67" t="s">
        <v>77</v>
      </c>
      <c r="F7" s="67">
        <v>9.0</v>
      </c>
      <c r="G7" s="67">
        <v>198.0</v>
      </c>
      <c r="H7" s="67">
        <v>22.0</v>
      </c>
      <c r="I7" s="67">
        <v>397.0</v>
      </c>
      <c r="J7" s="67">
        <v>1062.0</v>
      </c>
      <c r="K7" s="67">
        <v>118.0</v>
      </c>
      <c r="L7" s="67">
        <v>414.0</v>
      </c>
      <c r="M7" s="67">
        <v>88.0</v>
      </c>
      <c r="N7" s="67">
        <v>30.0</v>
      </c>
      <c r="O7" s="67">
        <v>15.0</v>
      </c>
      <c r="P7" s="67">
        <v>537174.0</v>
      </c>
      <c r="Q7" s="67">
        <v>0.013045362</v>
      </c>
      <c r="R7" s="67">
        <v>4.75</v>
      </c>
      <c r="S7" s="67">
        <v>5.2</v>
      </c>
      <c r="T7" s="67">
        <v>0.286997964</v>
      </c>
      <c r="U7" s="67">
        <v>104.5</v>
      </c>
      <c r="V7" s="67">
        <v>114.4</v>
      </c>
      <c r="W7" s="67">
        <v>3.4013E9</v>
      </c>
      <c r="X7" s="67" t="s">
        <v>78</v>
      </c>
    </row>
    <row r="8">
      <c r="A8" s="68">
        <v>46173.0</v>
      </c>
      <c r="B8" s="67">
        <v>17.0</v>
      </c>
      <c r="C8" s="67" t="s">
        <v>32</v>
      </c>
      <c r="D8" s="67" t="s">
        <v>79</v>
      </c>
      <c r="F8" s="67">
        <v>9.0</v>
      </c>
      <c r="G8" s="67">
        <v>216.0</v>
      </c>
      <c r="H8" s="67">
        <v>24.0</v>
      </c>
      <c r="I8" s="67">
        <v>397.0</v>
      </c>
      <c r="J8" s="67">
        <v>1044.0</v>
      </c>
      <c r="K8" s="67">
        <v>116.0</v>
      </c>
      <c r="L8" s="67">
        <v>414.0</v>
      </c>
      <c r="M8" s="67">
        <v>71.0</v>
      </c>
      <c r="N8" s="67">
        <v>45.0</v>
      </c>
      <c r="O8" s="67">
        <v>15.0</v>
      </c>
      <c r="P8" s="67">
        <v>536868.0</v>
      </c>
      <c r="Q8" s="67">
        <v>0.013045362</v>
      </c>
      <c r="R8" s="67">
        <v>4.75</v>
      </c>
      <c r="S8" s="67">
        <v>5.2</v>
      </c>
      <c r="T8" s="67">
        <v>0.313088688</v>
      </c>
      <c r="U8" s="67">
        <v>114.0</v>
      </c>
      <c r="V8" s="67">
        <v>124.8</v>
      </c>
      <c r="W8" s="67">
        <v>3.4013E9</v>
      </c>
      <c r="X8" s="67" t="s">
        <v>80</v>
      </c>
    </row>
    <row r="9">
      <c r="A9" s="68">
        <v>46140.0</v>
      </c>
      <c r="B9" s="67">
        <v>18.0</v>
      </c>
      <c r="C9" s="67" t="s">
        <v>35</v>
      </c>
      <c r="D9" s="67" t="s">
        <v>81</v>
      </c>
      <c r="F9" s="67">
        <v>9.0</v>
      </c>
      <c r="G9" s="67">
        <v>279.0</v>
      </c>
      <c r="H9" s="67">
        <v>31.0</v>
      </c>
      <c r="I9" s="67">
        <v>397.0</v>
      </c>
      <c r="J9" s="67">
        <v>981.0</v>
      </c>
      <c r="K9" s="67">
        <v>109.0</v>
      </c>
      <c r="L9" s="67">
        <v>414.0</v>
      </c>
      <c r="M9" s="67">
        <v>101.0</v>
      </c>
      <c r="N9" s="67">
        <v>8.0</v>
      </c>
      <c r="O9" s="67">
        <v>15.0</v>
      </c>
      <c r="P9" s="67">
        <v>535797.0</v>
      </c>
      <c r="Q9" s="67">
        <v>0.013045362</v>
      </c>
      <c r="R9" s="67">
        <v>4.75</v>
      </c>
      <c r="S9" s="67">
        <v>5.2</v>
      </c>
      <c r="T9" s="67">
        <v>0.404406222</v>
      </c>
      <c r="U9" s="67">
        <v>147.25</v>
      </c>
      <c r="V9" s="67">
        <v>161.2</v>
      </c>
      <c r="W9" s="67">
        <v>3.4013E9</v>
      </c>
      <c r="X9" s="67" t="s">
        <v>82</v>
      </c>
    </row>
    <row r="10">
      <c r="A10" s="68">
        <v>46168.0</v>
      </c>
      <c r="B10" s="67">
        <v>20.0</v>
      </c>
      <c r="C10" s="67">
        <v>4.901301299031E12</v>
      </c>
      <c r="D10" s="67" t="s">
        <v>83</v>
      </c>
      <c r="F10" s="67">
        <v>24.0</v>
      </c>
      <c r="G10" s="67">
        <v>240.0</v>
      </c>
      <c r="H10" s="67">
        <v>10.0</v>
      </c>
      <c r="I10" s="67">
        <v>616.0</v>
      </c>
      <c r="M10" s="67">
        <v>10.0</v>
      </c>
      <c r="N10" s="67">
        <v>0.0</v>
      </c>
      <c r="O10" s="67">
        <v>15.0</v>
      </c>
      <c r="P10" s="67">
        <v>151440.0</v>
      </c>
      <c r="Q10" s="67">
        <v>0.01512184464</v>
      </c>
      <c r="R10" s="67">
        <v>4.65</v>
      </c>
      <c r="S10" s="67">
        <v>5.2</v>
      </c>
      <c r="T10" s="67">
        <v>0.15121844639999998</v>
      </c>
      <c r="U10" s="67">
        <v>46.5</v>
      </c>
      <c r="V10" s="67">
        <v>52.0</v>
      </c>
      <c r="W10" s="67">
        <v>3.30499E9</v>
      </c>
    </row>
    <row r="11">
      <c r="A11" s="68">
        <v>46154.0</v>
      </c>
      <c r="B11" s="67">
        <v>21.0</v>
      </c>
      <c r="C11" s="67">
        <v>4.901301263049E12</v>
      </c>
      <c r="D11" s="67" t="s">
        <v>84</v>
      </c>
      <c r="F11" s="67">
        <v>24.0</v>
      </c>
      <c r="G11" s="67">
        <v>240.0</v>
      </c>
      <c r="H11" s="67">
        <v>10.0</v>
      </c>
      <c r="I11" s="67">
        <v>677.0</v>
      </c>
      <c r="M11" s="67">
        <v>10.0</v>
      </c>
      <c r="N11" s="67">
        <v>0.0</v>
      </c>
      <c r="O11" s="67">
        <v>15.0</v>
      </c>
      <c r="P11" s="67">
        <v>166080.0</v>
      </c>
      <c r="Q11" s="67">
        <v>0.01246275072</v>
      </c>
      <c r="R11" s="67">
        <v>6.85</v>
      </c>
      <c r="S11" s="67">
        <v>7.1</v>
      </c>
      <c r="T11" s="67">
        <v>0.1246275072</v>
      </c>
      <c r="U11" s="67">
        <v>68.5</v>
      </c>
      <c r="V11" s="67">
        <v>71.0</v>
      </c>
      <c r="W11" s="67">
        <v>3.30499E9</v>
      </c>
    </row>
    <row r="12">
      <c r="B12" s="67">
        <v>22.0</v>
      </c>
      <c r="C12" s="69" t="s">
        <v>91</v>
      </c>
      <c r="D12" s="67" t="s">
        <v>92</v>
      </c>
      <c r="F12" s="67">
        <v>10.0</v>
      </c>
      <c r="J12" s="67">
        <v>800.0</v>
      </c>
      <c r="K12" s="67">
        <v>80.0</v>
      </c>
      <c r="L12" s="67">
        <v>380.0</v>
      </c>
      <c r="M12" s="67">
        <v>66.0</v>
      </c>
      <c r="N12" s="67">
        <v>14.0</v>
      </c>
      <c r="O12" s="67">
        <v>15.0</v>
      </c>
      <c r="P12" s="67">
        <v>316000.0</v>
      </c>
      <c r="Q12" s="67">
        <v>0.020352</v>
      </c>
      <c r="R12" s="67">
        <v>7.5</v>
      </c>
      <c r="S12" s="67">
        <v>8.0</v>
      </c>
      <c r="T12" s="67">
        <v>0.0</v>
      </c>
      <c r="U12" s="67">
        <v>0.0</v>
      </c>
      <c r="V12" s="67">
        <v>0.0</v>
      </c>
      <c r="W12" s="67">
        <v>3.4025E9</v>
      </c>
      <c r="X12" s="67" t="s">
        <v>87</v>
      </c>
    </row>
    <row r="13">
      <c r="B13" s="67">
        <v>23.0</v>
      </c>
      <c r="C13" s="69" t="s">
        <v>93</v>
      </c>
      <c r="D13" s="67" t="s">
        <v>89</v>
      </c>
      <c r="F13" s="67">
        <v>10.0</v>
      </c>
      <c r="J13" s="67">
        <v>800.0</v>
      </c>
      <c r="K13" s="67">
        <v>80.0</v>
      </c>
      <c r="L13" s="67">
        <v>380.0</v>
      </c>
      <c r="M13" s="67">
        <v>80.0</v>
      </c>
      <c r="N13" s="67">
        <v>0.0</v>
      </c>
      <c r="O13" s="67">
        <v>15.0</v>
      </c>
      <c r="P13" s="67">
        <v>316000.0</v>
      </c>
      <c r="Q13" s="67">
        <v>0.020352</v>
      </c>
      <c r="R13" s="67">
        <v>7.2</v>
      </c>
      <c r="S13" s="67">
        <v>7.7</v>
      </c>
      <c r="T13" s="67">
        <v>0.0</v>
      </c>
      <c r="U13" s="67">
        <v>0.0</v>
      </c>
      <c r="V13" s="67">
        <v>0.0</v>
      </c>
      <c r="W13" s="67">
        <v>3.4025E9</v>
      </c>
      <c r="X13" s="67" t="s">
        <v>90</v>
      </c>
    </row>
    <row r="14">
      <c r="P14" s="67">
        <v>1.1677751E7</v>
      </c>
      <c r="T14" s="67">
        <v>38.416569903600006</v>
      </c>
      <c r="U14" s="67">
        <v>15401.550000000001</v>
      </c>
      <c r="V14" s="67">
        <v>16577.6</v>
      </c>
    </row>
    <row r="15">
      <c r="A15" s="67" t="s">
        <v>0</v>
      </c>
      <c r="B15" s="67" t="s">
        <v>94</v>
      </c>
      <c r="C15" s="67" t="s">
        <v>3</v>
      </c>
      <c r="D15" s="67" t="s">
        <v>95</v>
      </c>
      <c r="E15" s="67" t="s">
        <v>4</v>
      </c>
      <c r="F15" s="67" t="s">
        <v>5</v>
      </c>
      <c r="G15" s="67" t="s">
        <v>6</v>
      </c>
      <c r="H15" s="67" t="s">
        <v>96</v>
      </c>
      <c r="I15" s="67" t="s">
        <v>7</v>
      </c>
      <c r="J15" s="67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2026-05-26T23:24:00Z</dcterms:created>
  <dc:creator>GVG GVG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E173187D93214006B1D7F19D69DD395B_12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